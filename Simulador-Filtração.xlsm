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928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FILES\AMBEV\"/>
    </mc:Choice>
  </mc:AlternateContent>
  <xr:revisionPtr revIDLastSave="0" documentId="8_{9BD496AC-BA8D-44CF-B9C7-600C0E49F4EE}" xr6:coauthVersionLast="47" xr6:coauthVersionMax="47" xr10:uidLastSave="{00000000-0000-0000-0000-000000000000}"/>
  <bookViews>
    <workbookView xWindow="-108" yWindow="-16308" windowWidth="29016" windowHeight="15816"/>
  </bookViews>
  <sheets>
    <sheet name="Simula Blendagem" sheetId="1" r:id="rId1"/>
  </sheets>
  <definedNames>
    <definedName name="A_1">'Simula Blendagem'!$L$23</definedName>
    <definedName name="A_2">'Simula Blendagem'!$L$25</definedName>
    <definedName name="Delta_A_1">'Simula Blendagem'!$L$24</definedName>
    <definedName name="Delta_A_2">'Simula Blendagem'!$L$26</definedName>
    <definedName name="Eo_SP">'Simula Blendagem'!$L$27</definedName>
    <definedName name="Extrato_B">'Simula Blendagem'!$S$5:$S$255</definedName>
    <definedName name="L_1">'Simula Blendagem'!$L$21</definedName>
    <definedName name="L_2">'Simula Blendagem'!$L$22</definedName>
    <definedName name="Va_i">'Simula Blendagem'!$L$20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1" l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43" i="1"/>
  <c r="P43" i="1"/>
  <c r="O44" i="1"/>
  <c r="P44" i="1"/>
  <c r="O45" i="1"/>
  <c r="P45" i="1"/>
  <c r="O46" i="1"/>
  <c r="P46" i="1"/>
  <c r="O47" i="1"/>
  <c r="P47" i="1"/>
  <c r="O48" i="1"/>
  <c r="P48" i="1"/>
  <c r="O49" i="1"/>
  <c r="P49" i="1"/>
  <c r="O50" i="1"/>
  <c r="P50" i="1"/>
  <c r="O51" i="1"/>
  <c r="P51" i="1"/>
  <c r="O52" i="1"/>
  <c r="P52" i="1"/>
  <c r="O53" i="1"/>
  <c r="P53" i="1"/>
  <c r="O54" i="1"/>
  <c r="P54" i="1"/>
  <c r="O55" i="1"/>
  <c r="P55" i="1"/>
  <c r="O56" i="1"/>
  <c r="P56" i="1"/>
  <c r="O57" i="1"/>
  <c r="P57" i="1"/>
  <c r="O58" i="1"/>
  <c r="P58" i="1"/>
  <c r="O59" i="1"/>
  <c r="P59" i="1"/>
  <c r="O60" i="1"/>
  <c r="P60" i="1"/>
  <c r="O61" i="1"/>
  <c r="P61" i="1"/>
  <c r="O62" i="1"/>
  <c r="P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P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112" i="1"/>
  <c r="P112" i="1"/>
  <c r="O113" i="1"/>
  <c r="P113" i="1"/>
  <c r="O114" i="1"/>
  <c r="P114" i="1"/>
  <c r="O115" i="1"/>
  <c r="P115" i="1"/>
  <c r="O116" i="1"/>
  <c r="P116" i="1"/>
  <c r="O117" i="1"/>
  <c r="P117" i="1"/>
  <c r="O118" i="1"/>
  <c r="P118" i="1"/>
  <c r="O119" i="1"/>
  <c r="P119" i="1"/>
  <c r="O120" i="1"/>
  <c r="P120" i="1"/>
  <c r="O121" i="1"/>
  <c r="P121" i="1"/>
  <c r="O122" i="1"/>
  <c r="P122" i="1"/>
  <c r="O123" i="1"/>
  <c r="P123" i="1"/>
  <c r="O124" i="1"/>
  <c r="P124" i="1"/>
  <c r="O125" i="1"/>
  <c r="P125" i="1"/>
  <c r="O126" i="1"/>
  <c r="P126" i="1"/>
  <c r="O127" i="1"/>
  <c r="P127" i="1"/>
  <c r="O128" i="1"/>
  <c r="P128" i="1"/>
  <c r="O129" i="1"/>
  <c r="P129" i="1"/>
  <c r="O130" i="1"/>
  <c r="P130" i="1"/>
  <c r="O131" i="1"/>
  <c r="P131" i="1"/>
  <c r="O132" i="1"/>
  <c r="P132" i="1"/>
  <c r="O133" i="1"/>
  <c r="P133" i="1"/>
  <c r="O134" i="1"/>
  <c r="P134" i="1"/>
  <c r="O135" i="1"/>
  <c r="P135" i="1"/>
  <c r="O136" i="1"/>
  <c r="P136" i="1"/>
  <c r="O137" i="1"/>
  <c r="P137" i="1"/>
  <c r="O138" i="1"/>
  <c r="P138" i="1"/>
  <c r="O139" i="1"/>
  <c r="P139" i="1"/>
  <c r="O140" i="1"/>
  <c r="P140" i="1"/>
  <c r="O141" i="1"/>
  <c r="P141" i="1"/>
  <c r="O142" i="1"/>
  <c r="P142" i="1"/>
  <c r="O143" i="1"/>
  <c r="P143" i="1"/>
  <c r="O144" i="1"/>
  <c r="P144" i="1"/>
  <c r="O145" i="1"/>
  <c r="P145" i="1"/>
  <c r="O146" i="1"/>
  <c r="P146" i="1"/>
  <c r="O147" i="1"/>
  <c r="P147" i="1"/>
  <c r="O148" i="1"/>
  <c r="P148" i="1"/>
  <c r="O149" i="1"/>
  <c r="P149" i="1"/>
  <c r="O150" i="1"/>
  <c r="P150" i="1"/>
  <c r="O151" i="1"/>
  <c r="P151" i="1"/>
  <c r="O152" i="1"/>
  <c r="P152" i="1"/>
  <c r="O153" i="1"/>
  <c r="P153" i="1"/>
  <c r="O154" i="1"/>
  <c r="P154" i="1"/>
  <c r="O155" i="1"/>
  <c r="P155" i="1"/>
  <c r="O156" i="1"/>
  <c r="P156" i="1"/>
  <c r="O157" i="1"/>
  <c r="P157" i="1"/>
  <c r="O158" i="1"/>
  <c r="P158" i="1"/>
  <c r="O159" i="1"/>
  <c r="P159" i="1"/>
  <c r="O160" i="1"/>
  <c r="P160" i="1"/>
  <c r="O161" i="1"/>
  <c r="P161" i="1"/>
  <c r="O162" i="1"/>
  <c r="P162" i="1"/>
  <c r="O163" i="1"/>
  <c r="P163" i="1"/>
  <c r="O164" i="1"/>
  <c r="P164" i="1"/>
  <c r="O165" i="1"/>
  <c r="P165" i="1"/>
  <c r="O166" i="1"/>
  <c r="P166" i="1"/>
  <c r="O167" i="1"/>
  <c r="P167" i="1"/>
  <c r="O168" i="1"/>
  <c r="P168" i="1"/>
  <c r="O169" i="1"/>
  <c r="P169" i="1"/>
  <c r="O170" i="1"/>
  <c r="P170" i="1"/>
  <c r="O171" i="1"/>
  <c r="P171" i="1"/>
  <c r="O172" i="1"/>
  <c r="P172" i="1"/>
  <c r="O173" i="1"/>
  <c r="P173" i="1"/>
  <c r="O174" i="1"/>
  <c r="P174" i="1"/>
  <c r="O175" i="1"/>
  <c r="P175" i="1"/>
  <c r="O176" i="1"/>
  <c r="P176" i="1"/>
  <c r="O177" i="1"/>
  <c r="P177" i="1"/>
  <c r="O178" i="1"/>
  <c r="P178" i="1"/>
  <c r="O179" i="1"/>
  <c r="P179" i="1"/>
  <c r="O180" i="1"/>
  <c r="P180" i="1"/>
  <c r="O181" i="1"/>
  <c r="P181" i="1"/>
  <c r="O182" i="1"/>
  <c r="P182" i="1"/>
  <c r="O183" i="1"/>
  <c r="P183" i="1"/>
  <c r="O184" i="1"/>
  <c r="P184" i="1"/>
  <c r="O185" i="1"/>
  <c r="P185" i="1"/>
  <c r="O186" i="1"/>
  <c r="P186" i="1"/>
  <c r="O187" i="1"/>
  <c r="P187" i="1"/>
  <c r="O188" i="1"/>
  <c r="P188" i="1"/>
  <c r="O189" i="1"/>
  <c r="P189" i="1"/>
  <c r="O190" i="1"/>
  <c r="P190" i="1"/>
  <c r="O191" i="1"/>
  <c r="P191" i="1"/>
  <c r="O192" i="1"/>
  <c r="P192" i="1"/>
  <c r="O193" i="1"/>
  <c r="P193" i="1"/>
  <c r="O194" i="1"/>
  <c r="P194" i="1"/>
  <c r="O195" i="1"/>
  <c r="P195" i="1"/>
  <c r="O196" i="1"/>
  <c r="P196" i="1"/>
  <c r="O197" i="1"/>
  <c r="P197" i="1"/>
  <c r="O198" i="1"/>
  <c r="P198" i="1"/>
  <c r="O199" i="1"/>
  <c r="P199" i="1"/>
  <c r="O200" i="1"/>
  <c r="P200" i="1"/>
  <c r="O201" i="1"/>
  <c r="P201" i="1"/>
  <c r="O202" i="1"/>
  <c r="P202" i="1"/>
  <c r="O203" i="1"/>
  <c r="P203" i="1"/>
  <c r="O204" i="1"/>
  <c r="P204" i="1"/>
  <c r="O205" i="1"/>
  <c r="P205" i="1"/>
  <c r="O206" i="1"/>
  <c r="P206" i="1"/>
  <c r="O207" i="1"/>
  <c r="P207" i="1"/>
  <c r="O208" i="1"/>
  <c r="P208" i="1"/>
  <c r="O209" i="1"/>
  <c r="P209" i="1"/>
  <c r="O210" i="1"/>
  <c r="P210" i="1"/>
  <c r="O211" i="1"/>
  <c r="P211" i="1"/>
  <c r="O212" i="1"/>
  <c r="P212" i="1"/>
  <c r="O213" i="1"/>
  <c r="P213" i="1"/>
  <c r="O214" i="1"/>
  <c r="P214" i="1"/>
  <c r="O215" i="1"/>
  <c r="P215" i="1"/>
  <c r="O216" i="1"/>
  <c r="P216" i="1"/>
  <c r="O217" i="1"/>
  <c r="P217" i="1"/>
  <c r="O218" i="1"/>
  <c r="P218" i="1"/>
  <c r="O219" i="1"/>
  <c r="P219" i="1"/>
  <c r="O220" i="1"/>
  <c r="P220" i="1"/>
  <c r="O221" i="1"/>
  <c r="P221" i="1"/>
  <c r="O222" i="1"/>
  <c r="P222" i="1"/>
  <c r="O223" i="1"/>
  <c r="P223" i="1"/>
  <c r="O224" i="1"/>
  <c r="P224" i="1"/>
  <c r="O225" i="1"/>
  <c r="P225" i="1"/>
  <c r="O226" i="1"/>
  <c r="P226" i="1"/>
  <c r="O227" i="1"/>
  <c r="P227" i="1"/>
  <c r="O228" i="1"/>
  <c r="P228" i="1"/>
  <c r="O229" i="1"/>
  <c r="P229" i="1"/>
  <c r="O230" i="1"/>
  <c r="P230" i="1"/>
  <c r="O231" i="1"/>
  <c r="P231" i="1"/>
  <c r="O232" i="1"/>
  <c r="P232" i="1"/>
  <c r="O233" i="1"/>
  <c r="P233" i="1"/>
  <c r="O234" i="1"/>
  <c r="P234" i="1"/>
  <c r="O235" i="1"/>
  <c r="P235" i="1"/>
  <c r="O236" i="1"/>
  <c r="P236" i="1"/>
  <c r="O237" i="1"/>
  <c r="P237" i="1"/>
  <c r="O238" i="1"/>
  <c r="P238" i="1"/>
  <c r="O239" i="1"/>
  <c r="P239" i="1"/>
  <c r="O240" i="1"/>
  <c r="P240" i="1"/>
  <c r="O241" i="1"/>
  <c r="P241" i="1"/>
  <c r="O242" i="1"/>
  <c r="P242" i="1"/>
  <c r="O243" i="1"/>
  <c r="P243" i="1"/>
  <c r="O244" i="1"/>
  <c r="P244" i="1"/>
  <c r="O245" i="1"/>
  <c r="P245" i="1"/>
  <c r="O246" i="1"/>
  <c r="P246" i="1"/>
  <c r="O247" i="1"/>
  <c r="P247" i="1"/>
  <c r="O248" i="1"/>
  <c r="P248" i="1"/>
  <c r="O249" i="1"/>
  <c r="P249" i="1"/>
  <c r="O250" i="1"/>
  <c r="P250" i="1"/>
  <c r="O251" i="1"/>
  <c r="P251" i="1"/>
  <c r="O252" i="1"/>
  <c r="P252" i="1"/>
  <c r="O253" i="1"/>
  <c r="P253" i="1"/>
  <c r="O254" i="1"/>
  <c r="P254" i="1"/>
  <c r="O255" i="1"/>
  <c r="P255" i="1"/>
</calcChain>
</file>

<file path=xl/sharedStrings.xml><?xml version="1.0" encoding="utf-8"?>
<sst xmlns="http://schemas.openxmlformats.org/spreadsheetml/2006/main" count="44" uniqueCount="27">
  <si>
    <t>Range Extrato OD</t>
  </si>
  <si>
    <t>hL</t>
  </si>
  <si>
    <t>Extrato Médio OD</t>
  </si>
  <si>
    <t>Parâmetros do OD</t>
  </si>
  <si>
    <t>Va</t>
  </si>
  <si>
    <t>Vc</t>
  </si>
  <si>
    <t>V1</t>
  </si>
  <si>
    <t xml:space="preserve">   V2</t>
  </si>
  <si>
    <t>a1</t>
  </si>
  <si>
    <t>a2</t>
  </si>
  <si>
    <t xml:space="preserve">Parâmetro de Vazão de </t>
  </si>
  <si>
    <t>Cerveja Filtrada</t>
  </si>
  <si>
    <t>Range da Vazão Vc</t>
  </si>
  <si>
    <t>Vazão Vc Média</t>
  </si>
  <si>
    <t>hL/h</t>
  </si>
  <si>
    <t>°P</t>
  </si>
  <si>
    <t>Condições Iniciais</t>
  </si>
  <si>
    <t>polegadas</t>
  </si>
  <si>
    <t>L1</t>
  </si>
  <si>
    <t>L2</t>
  </si>
  <si>
    <t>%</t>
  </si>
  <si>
    <t>Eo S.P.</t>
  </si>
  <si>
    <t>Delta a1</t>
  </si>
  <si>
    <t>Delta a2</t>
  </si>
  <si>
    <t>Eo b</t>
  </si>
  <si>
    <t>Eo f</t>
  </si>
  <si>
    <t>Eo 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</si>
</sst>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2" formatCode="0.0"/>
  </numFmts>
  <fonts count="4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2" borderId="4" xfId="0" applyFill="1" applyBorder="1"/>
    <xf numFmtId="0" fontId="0" fillId="2" borderId="0" xfId="0" applyFill="1" applyBorder="1"/>
    <xf numFmtId="2" fontId="0" fillId="2" borderId="4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right"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left"/>
    </xf>
    <xf numFmtId="172" fontId="0" fillId="0" borderId="0" xfId="0" applyNumberFormat="1"/>
    <xf numFmtId="172" fontId="0" fillId="2" borderId="4" xfId="0" applyNumberFormat="1" applyFill="1" applyBorder="1"/>
    <xf numFmtId="0" fontId="0" fillId="3" borderId="4" xfId="0" applyFill="1" applyBorder="1"/>
    <xf numFmtId="0" fontId="0" fillId="3" borderId="5" xfId="0" applyFill="1" applyBorder="1"/>
    <xf numFmtId="0" fontId="3" fillId="3" borderId="5" xfId="0" applyFont="1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0" xfId="0" applyFill="1" applyBorder="1"/>
    <xf numFmtId="0" fontId="0" fillId="4" borderId="7" xfId="0" applyFill="1" applyBorder="1"/>
    <xf numFmtId="2" fontId="0" fillId="4" borderId="0" xfId="0" applyNumberFormat="1" applyFill="1" applyBorder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3636545693994E-2"/>
          <c:y val="6.4707882732909977E-2"/>
          <c:w val="0.92154780196757413"/>
          <c:h val="0.8323786733369783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'Simula Blendagem'!$S$5:$S$255</c:f>
              <c:numCache>
                <c:formatCode>General</c:formatCode>
                <c:ptCount val="251"/>
                <c:pt idx="0">
                  <c:v>11.526167591151522</c:v>
                </c:pt>
                <c:pt idx="1">
                  <c:v>11.442585229392133</c:v>
                </c:pt>
                <c:pt idx="2">
                  <c:v>11.345193865950439</c:v>
                </c:pt>
                <c:pt idx="3">
                  <c:v>11.267869838758136</c:v>
                </c:pt>
                <c:pt idx="4">
                  <c:v>11.15207671038308</c:v>
                </c:pt>
                <c:pt idx="5">
                  <c:v>11.03073970643711</c:v>
                </c:pt>
                <c:pt idx="6">
                  <c:v>11.140580321630498</c:v>
                </c:pt>
                <c:pt idx="7">
                  <c:v>11.260596974472337</c:v>
                </c:pt>
                <c:pt idx="8">
                  <c:v>11.109135621693186</c:v>
                </c:pt>
                <c:pt idx="9">
                  <c:v>11.218482987668709</c:v>
                </c:pt>
                <c:pt idx="10">
                  <c:v>11.122008469650325</c:v>
                </c:pt>
                <c:pt idx="11">
                  <c:v>11.253696911292707</c:v>
                </c:pt>
                <c:pt idx="12">
                  <c:v>11.117646707525926</c:v>
                </c:pt>
                <c:pt idx="13">
                  <c:v>11.213040610602869</c:v>
                </c:pt>
                <c:pt idx="14">
                  <c:v>11.120496190220608</c:v>
                </c:pt>
                <c:pt idx="15">
                  <c:v>11.213853177997612</c:v>
                </c:pt>
                <c:pt idx="16">
                  <c:v>11.114809995885011</c:v>
                </c:pt>
                <c:pt idx="17">
                  <c:v>11.265778289630365</c:v>
                </c:pt>
                <c:pt idx="18">
                  <c:v>11.124328427851042</c:v>
                </c:pt>
                <c:pt idx="19">
                  <c:v>11.255915122748402</c:v>
                </c:pt>
                <c:pt idx="20">
                  <c:v>11.140958517813585</c:v>
                </c:pt>
                <c:pt idx="21">
                  <c:v>11.206996129984493</c:v>
                </c:pt>
                <c:pt idx="22">
                  <c:v>11.167609043950209</c:v>
                </c:pt>
                <c:pt idx="23">
                  <c:v>11.071602748816716</c:v>
                </c:pt>
                <c:pt idx="24">
                  <c:v>11.118057164706666</c:v>
                </c:pt>
                <c:pt idx="25">
                  <c:v>11.272723430832704</c:v>
                </c:pt>
                <c:pt idx="26">
                  <c:v>11.139323446995379</c:v>
                </c:pt>
                <c:pt idx="27">
                  <c:v>11.268691773910787</c:v>
                </c:pt>
                <c:pt idx="28">
                  <c:v>11.149329000643244</c:v>
                </c:pt>
                <c:pt idx="29">
                  <c:v>11.012700730348417</c:v>
                </c:pt>
                <c:pt idx="30">
                  <c:v>11.173347601039621</c:v>
                </c:pt>
                <c:pt idx="31">
                  <c:v>11.021236116476844</c:v>
                </c:pt>
                <c:pt idx="32">
                  <c:v>11.128123195805442</c:v>
                </c:pt>
                <c:pt idx="33">
                  <c:v>11.243362002828853</c:v>
                </c:pt>
                <c:pt idx="34">
                  <c:v>11.149600723082189</c:v>
                </c:pt>
                <c:pt idx="35">
                  <c:v>11.029601199664981</c:v>
                </c:pt>
                <c:pt idx="36">
                  <c:v>11.141040236362359</c:v>
                </c:pt>
                <c:pt idx="37">
                  <c:v>11.264497879224141</c:v>
                </c:pt>
                <c:pt idx="38">
                  <c:v>11.176241059658764</c:v>
                </c:pt>
                <c:pt idx="39">
                  <c:v>11.054133425618817</c:v>
                </c:pt>
                <c:pt idx="40">
                  <c:v>11.167044765961286</c:v>
                </c:pt>
                <c:pt idx="41">
                  <c:v>11.059456577528936</c:v>
                </c:pt>
                <c:pt idx="42">
                  <c:v>11.135458215684077</c:v>
                </c:pt>
                <c:pt idx="43">
                  <c:v>11.271391845410152</c:v>
                </c:pt>
                <c:pt idx="44">
                  <c:v>11.123614265056368</c:v>
                </c:pt>
                <c:pt idx="45">
                  <c:v>11.222609957674582</c:v>
                </c:pt>
                <c:pt idx="46">
                  <c:v>11.169746655420758</c:v>
                </c:pt>
                <c:pt idx="47">
                  <c:v>11.038652716183735</c:v>
                </c:pt>
                <c:pt idx="48">
                  <c:v>11.130315176853607</c:v>
                </c:pt>
                <c:pt idx="49">
                  <c:v>11.272164297176914</c:v>
                </c:pt>
                <c:pt idx="50">
                  <c:v>11.156474297425728</c:v>
                </c:pt>
                <c:pt idx="51">
                  <c:v>11.070897755243243</c:v>
                </c:pt>
                <c:pt idx="52">
                  <c:v>11.171886509165658</c:v>
                </c:pt>
                <c:pt idx="53">
                  <c:v>11.062920872193128</c:v>
                </c:pt>
                <c:pt idx="54">
                  <c:v>11.117325883441495</c:v>
                </c:pt>
                <c:pt idx="55">
                  <c:v>11.272253541169201</c:v>
                </c:pt>
                <c:pt idx="56">
                  <c:v>11.124704062482934</c:v>
                </c:pt>
                <c:pt idx="57">
                  <c:v>11.214288465899257</c:v>
                </c:pt>
                <c:pt idx="58">
                  <c:v>11.176695444552101</c:v>
                </c:pt>
                <c:pt idx="59">
                  <c:v>11.066306353051212</c:v>
                </c:pt>
                <c:pt idx="60">
                  <c:v>11.14303907718682</c:v>
                </c:pt>
                <c:pt idx="61">
                  <c:v>11.253258549517447</c:v>
                </c:pt>
                <c:pt idx="62">
                  <c:v>11.171466221941596</c:v>
                </c:pt>
                <c:pt idx="63">
                  <c:v>11.050443890329136</c:v>
                </c:pt>
                <c:pt idx="64">
                  <c:v>11.120637142218992</c:v>
                </c:pt>
                <c:pt idx="65">
                  <c:v>11.223515460061593</c:v>
                </c:pt>
                <c:pt idx="66">
                  <c:v>11.166458150799844</c:v>
                </c:pt>
                <c:pt idx="67">
                  <c:v>11.051479940074938</c:v>
                </c:pt>
                <c:pt idx="68">
                  <c:v>11.110928801666409</c:v>
                </c:pt>
                <c:pt idx="69">
                  <c:v>11.227322819620893</c:v>
                </c:pt>
                <c:pt idx="70">
                  <c:v>11.131311212166866</c:v>
                </c:pt>
                <c:pt idx="71">
                  <c:v>11.258656438570171</c:v>
                </c:pt>
                <c:pt idx="72">
                  <c:v>11.163103706748657</c:v>
                </c:pt>
                <c:pt idx="73">
                  <c:v>11.052722314564873</c:v>
                </c:pt>
                <c:pt idx="74">
                  <c:v>11.153921989438555</c:v>
                </c:pt>
                <c:pt idx="75">
                  <c:v>11.27413454840115</c:v>
                </c:pt>
                <c:pt idx="76">
                  <c:v>11.14991446620003</c:v>
                </c:pt>
                <c:pt idx="77">
                  <c:v>11.0606224756653</c:v>
                </c:pt>
                <c:pt idx="78">
                  <c:v>11.111890771507317</c:v>
                </c:pt>
                <c:pt idx="79">
                  <c:v>11.220933682822801</c:v>
                </c:pt>
                <c:pt idx="80">
                  <c:v>11.151149292612923</c:v>
                </c:pt>
                <c:pt idx="81">
                  <c:v>11.016152546856114</c:v>
                </c:pt>
                <c:pt idx="82">
                  <c:v>11.168776091131431</c:v>
                </c:pt>
                <c:pt idx="83">
                  <c:v>11.068088545538743</c:v>
                </c:pt>
                <c:pt idx="84">
                  <c:v>11.156494035075387</c:v>
                </c:pt>
                <c:pt idx="85">
                  <c:v>11.071887552146356</c:v>
                </c:pt>
                <c:pt idx="86">
                  <c:v>11.167035040822267</c:v>
                </c:pt>
                <c:pt idx="87">
                  <c:v>11.04438840529397</c:v>
                </c:pt>
                <c:pt idx="88">
                  <c:v>11.112972847324036</c:v>
                </c:pt>
                <c:pt idx="89">
                  <c:v>11.218060404060006</c:v>
                </c:pt>
                <c:pt idx="90">
                  <c:v>11.120172493853266</c:v>
                </c:pt>
                <c:pt idx="91">
                  <c:v>11.259845731624301</c:v>
                </c:pt>
                <c:pt idx="92">
                  <c:v>11.112593487183513</c:v>
                </c:pt>
                <c:pt idx="93">
                  <c:v>11.237644465064527</c:v>
                </c:pt>
                <c:pt idx="94">
                  <c:v>11.170021365020906</c:v>
                </c:pt>
                <c:pt idx="95">
                  <c:v>11.077716479157921</c:v>
                </c:pt>
                <c:pt idx="96">
                  <c:v>11.155168455088848</c:v>
                </c:pt>
                <c:pt idx="97">
                  <c:v>11.06127785597104</c:v>
                </c:pt>
                <c:pt idx="98">
                  <c:v>11.140719526019121</c:v>
                </c:pt>
                <c:pt idx="99">
                  <c:v>11.235912056061274</c:v>
                </c:pt>
                <c:pt idx="100">
                  <c:v>11.108048281260947</c:v>
                </c:pt>
                <c:pt idx="101">
                  <c:v>11.264419601383132</c:v>
                </c:pt>
                <c:pt idx="102">
                  <c:v>11.142890207941875</c:v>
                </c:pt>
                <c:pt idx="103">
                  <c:v>11.271214532873131</c:v>
                </c:pt>
                <c:pt idx="104">
                  <c:v>11.162192634220194</c:v>
                </c:pt>
                <c:pt idx="105">
                  <c:v>11.058148588579</c:v>
                </c:pt>
                <c:pt idx="106">
                  <c:v>11.116015007727942</c:v>
                </c:pt>
                <c:pt idx="107">
                  <c:v>11.215645543984738</c:v>
                </c:pt>
                <c:pt idx="108">
                  <c:v>11.145145469130359</c:v>
                </c:pt>
                <c:pt idx="109">
                  <c:v>11.072200980195074</c:v>
                </c:pt>
                <c:pt idx="110">
                  <c:v>11.122127188664882</c:v>
                </c:pt>
                <c:pt idx="111">
                  <c:v>11.219630417478198</c:v>
                </c:pt>
                <c:pt idx="112">
                  <c:v>11.145006001187676</c:v>
                </c:pt>
                <c:pt idx="113">
                  <c:v>11.024698323759996</c:v>
                </c:pt>
                <c:pt idx="114">
                  <c:v>11.173402840676435</c:v>
                </c:pt>
                <c:pt idx="115">
                  <c:v>11.080551117403243</c:v>
                </c:pt>
                <c:pt idx="116">
                  <c:v>11.14836024104436</c:v>
                </c:pt>
                <c:pt idx="117">
                  <c:v>11.264096435397985</c:v>
                </c:pt>
                <c:pt idx="118">
                  <c:v>11.15471047893524</c:v>
                </c:pt>
                <c:pt idx="119">
                  <c:v>11.035232606599292</c:v>
                </c:pt>
                <c:pt idx="120">
                  <c:v>11.17222374020853</c:v>
                </c:pt>
                <c:pt idx="121">
                  <c:v>11.024449366711515</c:v>
                </c:pt>
                <c:pt idx="122">
                  <c:v>11.120909202194746</c:v>
                </c:pt>
                <c:pt idx="123">
                  <c:v>11.25941034490512</c:v>
                </c:pt>
                <c:pt idx="124">
                  <c:v>11.113146428724077</c:v>
                </c:pt>
                <c:pt idx="125">
                  <c:v>11.22576669608133</c:v>
                </c:pt>
                <c:pt idx="126">
                  <c:v>11.127688589902625</c:v>
                </c:pt>
                <c:pt idx="127">
                  <c:v>11.26890855696138</c:v>
                </c:pt>
                <c:pt idx="128">
                  <c:v>11.174228441287504</c:v>
                </c:pt>
                <c:pt idx="129">
                  <c:v>11.028548945716967</c:v>
                </c:pt>
                <c:pt idx="130">
                  <c:v>11.163815695762949</c:v>
                </c:pt>
                <c:pt idx="131">
                  <c:v>11.041877672011031</c:v>
                </c:pt>
                <c:pt idx="132">
                  <c:v>11.133025784070066</c:v>
                </c:pt>
                <c:pt idx="133">
                  <c:v>11.250061957155157</c:v>
                </c:pt>
                <c:pt idx="134">
                  <c:v>11.166977146063566</c:v>
                </c:pt>
                <c:pt idx="135">
                  <c:v>11.078394791744655</c:v>
                </c:pt>
                <c:pt idx="136">
                  <c:v>11.133651700769898</c:v>
                </c:pt>
                <c:pt idx="137">
                  <c:v>11.257169039446532</c:v>
                </c:pt>
                <c:pt idx="138">
                  <c:v>11.154823485893354</c:v>
                </c:pt>
                <c:pt idx="139">
                  <c:v>11.069627259209485</c:v>
                </c:pt>
                <c:pt idx="140">
                  <c:v>11.119731682745225</c:v>
                </c:pt>
                <c:pt idx="141">
                  <c:v>11.241893786871218</c:v>
                </c:pt>
                <c:pt idx="142">
                  <c:v>11.144392870116665</c:v>
                </c:pt>
                <c:pt idx="143">
                  <c:v>11.217558994303554</c:v>
                </c:pt>
                <c:pt idx="144">
                  <c:v>11.135349365876388</c:v>
                </c:pt>
                <c:pt idx="145">
                  <c:v>11.215153066059232</c:v>
                </c:pt>
                <c:pt idx="146">
                  <c:v>11.122124163040528</c:v>
                </c:pt>
                <c:pt idx="147">
                  <c:v>11.237696605272646</c:v>
                </c:pt>
                <c:pt idx="148">
                  <c:v>11.121772428971687</c:v>
                </c:pt>
                <c:pt idx="149">
                  <c:v>11.229354507720158</c:v>
                </c:pt>
                <c:pt idx="150">
                  <c:v>11.117050412488039</c:v>
                </c:pt>
                <c:pt idx="151">
                  <c:v>11.209521693569647</c:v>
                </c:pt>
                <c:pt idx="152">
                  <c:v>11.116402424359594</c:v>
                </c:pt>
                <c:pt idx="153">
                  <c:v>11.222383435608819</c:v>
                </c:pt>
                <c:pt idx="154">
                  <c:v>11.149433436213151</c:v>
                </c:pt>
                <c:pt idx="155">
                  <c:v>11.049803568282815</c:v>
                </c:pt>
                <c:pt idx="156">
                  <c:v>11.172478698755244</c:v>
                </c:pt>
                <c:pt idx="157">
                  <c:v>11.045472001494833</c:v>
                </c:pt>
                <c:pt idx="158">
                  <c:v>11.15197071945901</c:v>
                </c:pt>
                <c:pt idx="159">
                  <c:v>11.259706395321947</c:v>
                </c:pt>
                <c:pt idx="160">
                  <c:v>11.166204538865959</c:v>
                </c:pt>
                <c:pt idx="161">
                  <c:v>11.031394907239527</c:v>
                </c:pt>
                <c:pt idx="162">
                  <c:v>11.147361537664811</c:v>
                </c:pt>
                <c:pt idx="163">
                  <c:v>11.211567410458922</c:v>
                </c:pt>
                <c:pt idx="164">
                  <c:v>11.166269136283757</c:v>
                </c:pt>
                <c:pt idx="165">
                  <c:v>11.015523889322543</c:v>
                </c:pt>
                <c:pt idx="166">
                  <c:v>11.170568388933827</c:v>
                </c:pt>
                <c:pt idx="167">
                  <c:v>11.03706775228699</c:v>
                </c:pt>
                <c:pt idx="168">
                  <c:v>11.163030213606902</c:v>
                </c:pt>
                <c:pt idx="169">
                  <c:v>11.054828778960122</c:v>
                </c:pt>
                <c:pt idx="170">
                  <c:v>11.122982150264063</c:v>
                </c:pt>
                <c:pt idx="171">
                  <c:v>11.2086276441596</c:v>
                </c:pt>
                <c:pt idx="172">
                  <c:v>11.16546729721763</c:v>
                </c:pt>
                <c:pt idx="173">
                  <c:v>11.075450485332734</c:v>
                </c:pt>
                <c:pt idx="174">
                  <c:v>11.145599822220884</c:v>
                </c:pt>
                <c:pt idx="175">
                  <c:v>11.250270458927583</c:v>
                </c:pt>
                <c:pt idx="176">
                  <c:v>11.136799744187691</c:v>
                </c:pt>
                <c:pt idx="177">
                  <c:v>11.206960408479867</c:v>
                </c:pt>
                <c:pt idx="178">
                  <c:v>11.119457464159469</c:v>
                </c:pt>
                <c:pt idx="179">
                  <c:v>11.231884044862539</c:v>
                </c:pt>
                <c:pt idx="180">
                  <c:v>11.171798375430118</c:v>
                </c:pt>
                <c:pt idx="181">
                  <c:v>11.045394264883848</c:v>
                </c:pt>
                <c:pt idx="182">
                  <c:v>11.125529497218677</c:v>
                </c:pt>
                <c:pt idx="183">
                  <c:v>11.269837049278117</c:v>
                </c:pt>
                <c:pt idx="184">
                  <c:v>11.119905256381497</c:v>
                </c:pt>
                <c:pt idx="185">
                  <c:v>11.214489491159604</c:v>
                </c:pt>
                <c:pt idx="186">
                  <c:v>11.166783766882402</c:v>
                </c:pt>
                <c:pt idx="187">
                  <c:v>11.074242309536118</c:v>
                </c:pt>
                <c:pt idx="188">
                  <c:v>11.136165285491789</c:v>
                </c:pt>
                <c:pt idx="189">
                  <c:v>11.245122877642775</c:v>
                </c:pt>
                <c:pt idx="190">
                  <c:v>11.164958273474907</c:v>
                </c:pt>
                <c:pt idx="191">
                  <c:v>11.042918608905813</c:v>
                </c:pt>
                <c:pt idx="192">
                  <c:v>11.171326930914756</c:v>
                </c:pt>
                <c:pt idx="193">
                  <c:v>11.063998929615865</c:v>
                </c:pt>
                <c:pt idx="194">
                  <c:v>11.12069041978212</c:v>
                </c:pt>
                <c:pt idx="195">
                  <c:v>11.256446550285878</c:v>
                </c:pt>
                <c:pt idx="196">
                  <c:v>11.135559039115442</c:v>
                </c:pt>
                <c:pt idx="197">
                  <c:v>11.240637941403881</c:v>
                </c:pt>
                <c:pt idx="198">
                  <c:v>11.110297508118421</c:v>
                </c:pt>
                <c:pt idx="199">
                  <c:v>11.23329483345937</c:v>
                </c:pt>
                <c:pt idx="200">
                  <c:v>11.132817196479266</c:v>
                </c:pt>
                <c:pt idx="201">
                  <c:v>11.268693320751087</c:v>
                </c:pt>
                <c:pt idx="202">
                  <c:v>11.134272148121125</c:v>
                </c:pt>
                <c:pt idx="203">
                  <c:v>11.256918210838815</c:v>
                </c:pt>
                <c:pt idx="204">
                  <c:v>11.124373058294077</c:v>
                </c:pt>
                <c:pt idx="205">
                  <c:v>11.25976697904766</c:v>
                </c:pt>
                <c:pt idx="206">
                  <c:v>11.11547973019375</c:v>
                </c:pt>
                <c:pt idx="207">
                  <c:v>11.267501806475295</c:v>
                </c:pt>
                <c:pt idx="208">
                  <c:v>11.111012612311361</c:v>
                </c:pt>
                <c:pt idx="209">
                  <c:v>11.256263394577957</c:v>
                </c:pt>
                <c:pt idx="210">
                  <c:v>11.118386455026791</c:v>
                </c:pt>
                <c:pt idx="211">
                  <c:v>11.230295954570051</c:v>
                </c:pt>
                <c:pt idx="212">
                  <c:v>11.110145083983451</c:v>
                </c:pt>
                <c:pt idx="213">
                  <c:v>11.211066790903949</c:v>
                </c:pt>
                <c:pt idx="214">
                  <c:v>11.1527072697198</c:v>
                </c:pt>
                <c:pt idx="215">
                  <c:v>11.044896429175905</c:v>
                </c:pt>
                <c:pt idx="216">
                  <c:v>11.115020340004781</c:v>
                </c:pt>
                <c:pt idx="217">
                  <c:v>11.263858963019207</c:v>
                </c:pt>
                <c:pt idx="218">
                  <c:v>11.171307323134192</c:v>
                </c:pt>
                <c:pt idx="219">
                  <c:v>11.054125894664214</c:v>
                </c:pt>
                <c:pt idx="220">
                  <c:v>11.123316794519264</c:v>
                </c:pt>
                <c:pt idx="221">
                  <c:v>11.220256638520702</c:v>
                </c:pt>
                <c:pt idx="222">
                  <c:v>11.162190264383595</c:v>
                </c:pt>
                <c:pt idx="223">
                  <c:v>11.020542806941069</c:v>
                </c:pt>
                <c:pt idx="224">
                  <c:v>11.12936888716847</c:v>
                </c:pt>
                <c:pt idx="225">
                  <c:v>11.243192219957796</c:v>
                </c:pt>
                <c:pt idx="226">
                  <c:v>11.168642631966984</c:v>
                </c:pt>
                <c:pt idx="227">
                  <c:v>11.044613514113809</c:v>
                </c:pt>
                <c:pt idx="228">
                  <c:v>11.176133008481807</c:v>
                </c:pt>
                <c:pt idx="229">
                  <c:v>11.057697850809831</c:v>
                </c:pt>
                <c:pt idx="230">
                  <c:v>11.126741029666713</c:v>
                </c:pt>
                <c:pt idx="231">
                  <c:v>11.211257631503964</c:v>
                </c:pt>
                <c:pt idx="232">
                  <c:v>11.163578425264966</c:v>
                </c:pt>
                <c:pt idx="233">
                  <c:v>11.049379033202399</c:v>
                </c:pt>
                <c:pt idx="234">
                  <c:v>11.147302981184282</c:v>
                </c:pt>
                <c:pt idx="235">
                  <c:v>11.218740138839937</c:v>
                </c:pt>
                <c:pt idx="236">
                  <c:v>11.108431660137322</c:v>
                </c:pt>
                <c:pt idx="237">
                  <c:v>11.252689594013221</c:v>
                </c:pt>
                <c:pt idx="238">
                  <c:v>11.138703220017382</c:v>
                </c:pt>
                <c:pt idx="239">
                  <c:v>11.273640153059636</c:v>
                </c:pt>
                <c:pt idx="240">
                  <c:v>11.175745197569681</c:v>
                </c:pt>
                <c:pt idx="241">
                  <c:v>11.031531303577845</c:v>
                </c:pt>
                <c:pt idx="242">
                  <c:v>11.120333182947332</c:v>
                </c:pt>
                <c:pt idx="243">
                  <c:v>11.208316640039648</c:v>
                </c:pt>
                <c:pt idx="244">
                  <c:v>11.113134668247675</c:v>
                </c:pt>
                <c:pt idx="245">
                  <c:v>11.232149420234677</c:v>
                </c:pt>
                <c:pt idx="246">
                  <c:v>11.128462428065106</c:v>
                </c:pt>
                <c:pt idx="247">
                  <c:v>11.218996454281418</c:v>
                </c:pt>
                <c:pt idx="248">
                  <c:v>11.152431924988472</c:v>
                </c:pt>
                <c:pt idx="249">
                  <c:v>11.032349954474524</c:v>
                </c:pt>
                <c:pt idx="250">
                  <c:v>11.110511724778076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91-4631-A6B3-377719E4B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6136352"/>
        <c:axId val="1"/>
      </c:lineChart>
      <c:catAx>
        <c:axId val="108613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1086136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 horizontalDpi="300" verticalDpi="300" copies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4</xdr:row>
      <xdr:rowOff>144780</xdr:rowOff>
    </xdr:from>
    <xdr:to>
      <xdr:col>13</xdr:col>
      <xdr:colOff>30480</xdr:colOff>
      <xdr:row>16</xdr:row>
      <xdr:rowOff>121920</xdr:rowOff>
    </xdr:to>
    <xdr:grpSp>
      <xdr:nvGrpSpPr>
        <xdr:cNvPr id="1037" name="Group 13">
          <a:extLst>
            <a:ext uri="{FF2B5EF4-FFF2-40B4-BE49-F238E27FC236}">
              <a16:creationId xmlns:a16="http://schemas.microsoft.com/office/drawing/2014/main" id="{F1E1D7C7-402D-CC82-BECD-29E6B612C7AF}"/>
            </a:ext>
          </a:extLst>
        </xdr:cNvPr>
        <xdr:cNvGrpSpPr>
          <a:grpSpLocks/>
        </xdr:cNvGrpSpPr>
      </xdr:nvGrpSpPr>
      <xdr:grpSpPr bwMode="auto">
        <a:xfrm>
          <a:off x="4457700" y="830580"/>
          <a:ext cx="3497580" cy="2065020"/>
          <a:chOff x="478" y="59"/>
          <a:chExt cx="357" cy="201"/>
        </a:xfrm>
      </xdr:grpSpPr>
      <xdr:sp macro="" textlink="">
        <xdr:nvSpPr>
          <xdr:cNvPr id="1025" name="Line 1">
            <a:extLst>
              <a:ext uri="{FF2B5EF4-FFF2-40B4-BE49-F238E27FC236}">
                <a16:creationId xmlns:a16="http://schemas.microsoft.com/office/drawing/2014/main" id="{76C2EB52-77F9-21FF-6CA0-279DF8B0A844}"/>
              </a:ext>
            </a:extLst>
          </xdr:cNvPr>
          <xdr:cNvSpPr>
            <a:spLocks noChangeShapeType="1"/>
          </xdr:cNvSpPr>
        </xdr:nvSpPr>
        <xdr:spPr bwMode="auto">
          <a:xfrm>
            <a:off x="478" y="59"/>
            <a:ext cx="15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6" name="Line 2">
            <a:extLst>
              <a:ext uri="{FF2B5EF4-FFF2-40B4-BE49-F238E27FC236}">
                <a16:creationId xmlns:a16="http://schemas.microsoft.com/office/drawing/2014/main" id="{D612A3C1-7BA9-639E-7038-38016C18E499}"/>
              </a:ext>
            </a:extLst>
          </xdr:cNvPr>
          <xdr:cNvSpPr>
            <a:spLocks noChangeShapeType="1"/>
          </xdr:cNvSpPr>
        </xdr:nvSpPr>
        <xdr:spPr bwMode="auto">
          <a:xfrm>
            <a:off x="633" y="60"/>
            <a:ext cx="0" cy="19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7" name="Line 3">
            <a:extLst>
              <a:ext uri="{FF2B5EF4-FFF2-40B4-BE49-F238E27FC236}">
                <a16:creationId xmlns:a16="http://schemas.microsoft.com/office/drawing/2014/main" id="{63FF8DD3-C4D0-94EF-FD00-ED59F2050880}"/>
              </a:ext>
            </a:extLst>
          </xdr:cNvPr>
          <xdr:cNvSpPr>
            <a:spLocks noChangeShapeType="1"/>
          </xdr:cNvSpPr>
        </xdr:nvSpPr>
        <xdr:spPr bwMode="auto">
          <a:xfrm>
            <a:off x="633" y="147"/>
            <a:ext cx="7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8" name="Line 4">
            <a:extLst>
              <a:ext uri="{FF2B5EF4-FFF2-40B4-BE49-F238E27FC236}">
                <a16:creationId xmlns:a16="http://schemas.microsoft.com/office/drawing/2014/main" id="{83CF4B81-2B05-E0F2-AF26-54967DA48980}"/>
              </a:ext>
            </a:extLst>
          </xdr:cNvPr>
          <xdr:cNvSpPr>
            <a:spLocks noChangeShapeType="1"/>
          </xdr:cNvSpPr>
        </xdr:nvSpPr>
        <xdr:spPr bwMode="auto">
          <a:xfrm>
            <a:off x="711" y="149"/>
            <a:ext cx="0" cy="11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9" name="Line 5">
            <a:extLst>
              <a:ext uri="{FF2B5EF4-FFF2-40B4-BE49-F238E27FC236}">
                <a16:creationId xmlns:a16="http://schemas.microsoft.com/office/drawing/2014/main" id="{44892D83-EFEC-C92C-15DF-A4ED26FB8774}"/>
              </a:ext>
            </a:extLst>
          </xdr:cNvPr>
          <xdr:cNvSpPr>
            <a:spLocks noChangeShapeType="1"/>
          </xdr:cNvSpPr>
        </xdr:nvSpPr>
        <xdr:spPr bwMode="auto">
          <a:xfrm>
            <a:off x="500" y="257"/>
            <a:ext cx="33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0" name="AutoShape 6">
            <a:extLst>
              <a:ext uri="{FF2B5EF4-FFF2-40B4-BE49-F238E27FC236}">
                <a16:creationId xmlns:a16="http://schemas.microsoft.com/office/drawing/2014/main" id="{21248583-1DAA-76AD-3C30-FF19D89F757F}"/>
              </a:ext>
            </a:extLst>
          </xdr:cNvPr>
          <xdr:cNvSpPr>
            <a:spLocks noChangeArrowheads="1"/>
          </xdr:cNvSpPr>
        </xdr:nvSpPr>
        <xdr:spPr bwMode="auto">
          <a:xfrm rot="-5238231">
            <a:off x="625" y="202"/>
            <a:ext cx="18" cy="31"/>
          </a:xfrm>
          <a:prstGeom prst="flowChartCollat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31" name="AutoShape 7">
            <a:extLst>
              <a:ext uri="{FF2B5EF4-FFF2-40B4-BE49-F238E27FC236}">
                <a16:creationId xmlns:a16="http://schemas.microsoft.com/office/drawing/2014/main" id="{FF01D70B-C4D1-040F-9BDF-6FB44F47E97C}"/>
              </a:ext>
            </a:extLst>
          </xdr:cNvPr>
          <xdr:cNvSpPr>
            <a:spLocks noChangeArrowheads="1"/>
          </xdr:cNvSpPr>
        </xdr:nvSpPr>
        <xdr:spPr bwMode="auto">
          <a:xfrm rot="-5238231">
            <a:off x="699" y="202"/>
            <a:ext cx="18" cy="31"/>
          </a:xfrm>
          <a:prstGeom prst="flowChartCollat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0</xdr:col>
      <xdr:colOff>259080</xdr:colOff>
      <xdr:row>1</xdr:row>
      <xdr:rowOff>0</xdr:rowOff>
    </xdr:from>
    <xdr:to>
      <xdr:col>1</xdr:col>
      <xdr:colOff>518160</xdr:colOff>
      <xdr:row>15</xdr:row>
      <xdr:rowOff>76200</xdr:rowOff>
    </xdr:to>
    <xdr:sp macro="" textlink="">
      <xdr:nvSpPr>
        <xdr:cNvPr id="1032" name="AutoShape 8">
          <a:extLst>
            <a:ext uri="{FF2B5EF4-FFF2-40B4-BE49-F238E27FC236}">
              <a16:creationId xmlns:a16="http://schemas.microsoft.com/office/drawing/2014/main" id="{6FF5C238-0236-F0A2-B304-BA5E3D3DE39A}"/>
            </a:ext>
          </a:extLst>
        </xdr:cNvPr>
        <xdr:cNvSpPr>
          <a:spLocks noChangeArrowheads="1"/>
        </xdr:cNvSpPr>
      </xdr:nvSpPr>
      <xdr:spPr bwMode="auto">
        <a:xfrm rot="-5374561">
          <a:off x="-525780" y="952500"/>
          <a:ext cx="2438400" cy="868680"/>
        </a:xfrm>
        <a:prstGeom prst="flowChartDisplay">
          <a:avLst/>
        </a:prstGeom>
        <a:gradFill rotWithShape="0">
          <a:gsLst>
            <a:gs pos="0">
              <a:srgbClr xmlns:mc="http://schemas.openxmlformats.org/markup-compatibility/2006" xmlns:a14="http://schemas.microsoft.com/office/drawing/2010/main" val="FFCC99" mc:Ignorable="a14" a14:legacySpreadsheetColorIndex="47"/>
            </a:gs>
            <a:gs pos="100000">
              <a:srgbClr xmlns:mc="http://schemas.openxmlformats.org/markup-compatibility/2006" xmlns:a14="http://schemas.microsoft.com/office/drawing/2010/main" val="FFCC00" mc:Ignorable="a14" a14:legacySpreadsheetColorIndex="51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76200</xdr:colOff>
      <xdr:row>15</xdr:row>
      <xdr:rowOff>91440</xdr:rowOff>
    </xdr:from>
    <xdr:to>
      <xdr:col>1</xdr:col>
      <xdr:colOff>76200</xdr:colOff>
      <xdr:row>16</xdr:row>
      <xdr:rowOff>68580</xdr:rowOff>
    </xdr:to>
    <xdr:sp macro="" textlink="">
      <xdr:nvSpPr>
        <xdr:cNvPr id="1034" name="Line 10">
          <a:extLst>
            <a:ext uri="{FF2B5EF4-FFF2-40B4-BE49-F238E27FC236}">
              <a16:creationId xmlns:a16="http://schemas.microsoft.com/office/drawing/2014/main" id="{665C4128-F257-857E-D1F2-E4EDA85BA9E7}"/>
            </a:ext>
          </a:extLst>
        </xdr:cNvPr>
        <xdr:cNvSpPr>
          <a:spLocks noChangeShapeType="1"/>
        </xdr:cNvSpPr>
      </xdr:nvSpPr>
      <xdr:spPr bwMode="auto">
        <a:xfrm>
          <a:off x="685800" y="2621280"/>
          <a:ext cx="0" cy="1981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76200</xdr:colOff>
      <xdr:row>16</xdr:row>
      <xdr:rowOff>68580</xdr:rowOff>
    </xdr:from>
    <xdr:to>
      <xdr:col>3</xdr:col>
      <xdr:colOff>266700</xdr:colOff>
      <xdr:row>16</xdr:row>
      <xdr:rowOff>68580</xdr:rowOff>
    </xdr:to>
    <xdr:sp macro="" textlink="">
      <xdr:nvSpPr>
        <xdr:cNvPr id="1035" name="Line 11">
          <a:extLst>
            <a:ext uri="{FF2B5EF4-FFF2-40B4-BE49-F238E27FC236}">
              <a16:creationId xmlns:a16="http://schemas.microsoft.com/office/drawing/2014/main" id="{D1D651D0-0AF8-9B28-4379-70F17B7C3E64}"/>
            </a:ext>
          </a:extLst>
        </xdr:cNvPr>
        <xdr:cNvSpPr>
          <a:spLocks noChangeShapeType="1"/>
        </xdr:cNvSpPr>
      </xdr:nvSpPr>
      <xdr:spPr bwMode="auto">
        <a:xfrm>
          <a:off x="685800" y="2819400"/>
          <a:ext cx="1409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259080</xdr:colOff>
      <xdr:row>15</xdr:row>
      <xdr:rowOff>0</xdr:rowOff>
    </xdr:from>
    <xdr:to>
      <xdr:col>5</xdr:col>
      <xdr:colOff>68580</xdr:colOff>
      <xdr:row>18</xdr:row>
      <xdr:rowOff>7620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C9D42DB9-36C4-BF67-4FC9-C79FB38E84BE}"/>
            </a:ext>
          </a:extLst>
        </xdr:cNvPr>
        <xdr:cNvSpPr>
          <a:spLocks noChangeArrowheads="1"/>
        </xdr:cNvSpPr>
      </xdr:nvSpPr>
      <xdr:spPr bwMode="auto">
        <a:xfrm>
          <a:off x="2087880" y="2529840"/>
          <a:ext cx="1028700" cy="571500"/>
        </a:xfrm>
        <a:prstGeom prst="roundRect">
          <a:avLst>
            <a:gd name="adj" fmla="val 16667"/>
          </a:avLst>
        </a:prstGeom>
        <a:gradFill rotWithShape="0">
          <a:gsLst>
            <a:gs pos="0">
              <a:srgbClr xmlns:mc="http://schemas.openxmlformats.org/markup-compatibility/2006" xmlns:a14="http://schemas.microsoft.com/office/drawing/2010/main" val="C0C0C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FFCC99" mc:Ignorable="a14" a14:legacySpreadsheetColorIndex="47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FILTRAÇÃO</a:t>
          </a:r>
        </a:p>
      </xdr:txBody>
    </xdr:sp>
    <xdr:clientData/>
  </xdr:twoCellAnchor>
  <xdr:twoCellAnchor>
    <xdr:from>
      <xdr:col>5</xdr:col>
      <xdr:colOff>76200</xdr:colOff>
      <xdr:row>11</xdr:row>
      <xdr:rowOff>76200</xdr:rowOff>
    </xdr:from>
    <xdr:to>
      <xdr:col>7</xdr:col>
      <xdr:colOff>457200</xdr:colOff>
      <xdr:row>16</xdr:row>
      <xdr:rowOff>99060</xdr:rowOff>
    </xdr:to>
    <xdr:grpSp>
      <xdr:nvGrpSpPr>
        <xdr:cNvPr id="1043" name="Group 19">
          <a:extLst>
            <a:ext uri="{FF2B5EF4-FFF2-40B4-BE49-F238E27FC236}">
              <a16:creationId xmlns:a16="http://schemas.microsoft.com/office/drawing/2014/main" id="{B446843B-9C47-F9A6-5C02-2CE8F1B46A73}"/>
            </a:ext>
          </a:extLst>
        </xdr:cNvPr>
        <xdr:cNvGrpSpPr>
          <a:grpSpLocks/>
        </xdr:cNvGrpSpPr>
      </xdr:nvGrpSpPr>
      <xdr:grpSpPr bwMode="auto">
        <a:xfrm>
          <a:off x="3124200" y="1950720"/>
          <a:ext cx="1600200" cy="922020"/>
          <a:chOff x="328" y="179"/>
          <a:chExt cx="168" cy="87"/>
        </a:xfrm>
      </xdr:grpSpPr>
      <xdr:sp macro="" textlink="">
        <xdr:nvSpPr>
          <xdr:cNvPr id="1038" name="Line 14">
            <a:extLst>
              <a:ext uri="{FF2B5EF4-FFF2-40B4-BE49-F238E27FC236}">
                <a16:creationId xmlns:a16="http://schemas.microsoft.com/office/drawing/2014/main" id="{3FDF0141-8AAD-6F8C-3926-611C19A61EDB}"/>
              </a:ext>
            </a:extLst>
          </xdr:cNvPr>
          <xdr:cNvSpPr>
            <a:spLocks noChangeShapeType="1"/>
          </xdr:cNvSpPr>
        </xdr:nvSpPr>
        <xdr:spPr bwMode="auto">
          <a:xfrm>
            <a:off x="328" y="264"/>
            <a:ext cx="16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1042" name="Group 18">
            <a:extLst>
              <a:ext uri="{FF2B5EF4-FFF2-40B4-BE49-F238E27FC236}">
                <a16:creationId xmlns:a16="http://schemas.microsoft.com/office/drawing/2014/main" id="{2C52E583-B90A-5C0B-FA2A-047E3BED0A1F}"/>
              </a:ext>
            </a:extLst>
          </xdr:cNvPr>
          <xdr:cNvGrpSpPr>
            <a:grpSpLocks/>
          </xdr:cNvGrpSpPr>
        </xdr:nvGrpSpPr>
        <xdr:grpSpPr bwMode="auto">
          <a:xfrm>
            <a:off x="357" y="179"/>
            <a:ext cx="59" cy="87"/>
            <a:chOff x="357" y="179"/>
            <a:chExt cx="59" cy="87"/>
          </a:xfrm>
        </xdr:grpSpPr>
        <xdr:sp macro="" textlink="">
          <xdr:nvSpPr>
            <xdr:cNvPr id="1039" name="AutoShape 15">
              <a:extLst>
                <a:ext uri="{FF2B5EF4-FFF2-40B4-BE49-F238E27FC236}">
                  <a16:creationId xmlns:a16="http://schemas.microsoft.com/office/drawing/2014/main" id="{78049473-94F0-0988-2876-58F4ADF5A095}"/>
                </a:ext>
              </a:extLst>
            </xdr:cNvPr>
            <xdr:cNvSpPr>
              <a:spLocks noChangeArrowheads="1"/>
            </xdr:cNvSpPr>
          </xdr:nvSpPr>
          <xdr:spPr bwMode="auto">
            <a:xfrm rot="-5374561">
              <a:off x="350" y="186"/>
              <a:ext cx="73" cy="59"/>
            </a:xfrm>
            <a:prstGeom prst="flowChartDisplay">
              <a:avLst/>
            </a:prstGeom>
            <a:gradFill rotWithShape="0">
              <a:gsLst>
                <a:gs pos="0">
                  <a:srgbClr xmlns:mc="http://schemas.openxmlformats.org/markup-compatibility/2006" xmlns:a14="http://schemas.microsoft.com/office/drawing/2010/main" val="FFCC99" mc:Ignorable="a14" a14:legacySpreadsheetColorIndex="47"/>
                </a:gs>
                <a:gs pos="100000">
                  <a:srgbClr xmlns:mc="http://schemas.openxmlformats.org/markup-compatibility/2006" xmlns:a14="http://schemas.microsoft.com/office/drawing/2010/main" val="FFCC00" mc:Ignorable="a14" a14:legacySpreadsheetColorIndex="51"/>
                </a:gs>
              </a:gsLst>
              <a:lin ang="5400000" scaled="1"/>
            </a:gra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1040" name="Line 16">
              <a:extLst>
                <a:ext uri="{FF2B5EF4-FFF2-40B4-BE49-F238E27FC236}">
                  <a16:creationId xmlns:a16="http://schemas.microsoft.com/office/drawing/2014/main" id="{C6486CEE-CC7B-0097-EE5C-56DCF97C014B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86" y="252"/>
              <a:ext cx="0" cy="14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</xdr:grpSp>
    <xdr:clientData/>
  </xdr:twoCellAnchor>
  <xdr:twoCellAnchor>
    <xdr:from>
      <xdr:col>7</xdr:col>
      <xdr:colOff>22860</xdr:colOff>
      <xdr:row>16</xdr:row>
      <xdr:rowOff>0</xdr:rowOff>
    </xdr:from>
    <xdr:to>
      <xdr:col>7</xdr:col>
      <xdr:colOff>182880</xdr:colOff>
      <xdr:row>16</xdr:row>
      <xdr:rowOff>144780</xdr:rowOff>
    </xdr:to>
    <xdr:sp macro="" textlink="">
      <xdr:nvSpPr>
        <xdr:cNvPr id="1044" name="AutoShape 20">
          <a:extLst>
            <a:ext uri="{FF2B5EF4-FFF2-40B4-BE49-F238E27FC236}">
              <a16:creationId xmlns:a16="http://schemas.microsoft.com/office/drawing/2014/main" id="{EEF83000-A5A4-F39E-2A65-16194F57DF13}"/>
            </a:ext>
          </a:extLst>
        </xdr:cNvPr>
        <xdr:cNvSpPr>
          <a:spLocks noChangeArrowheads="1"/>
        </xdr:cNvSpPr>
      </xdr:nvSpPr>
      <xdr:spPr bwMode="auto">
        <a:xfrm rot="5598657">
          <a:off x="4297680" y="2743200"/>
          <a:ext cx="144780" cy="16002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121920</xdr:colOff>
      <xdr:row>4</xdr:row>
      <xdr:rowOff>68580</xdr:rowOff>
    </xdr:from>
    <xdr:to>
      <xdr:col>8</xdr:col>
      <xdr:colOff>289560</xdr:colOff>
      <xdr:row>5</xdr:row>
      <xdr:rowOff>45720</xdr:rowOff>
    </xdr:to>
    <xdr:sp macro="" textlink="">
      <xdr:nvSpPr>
        <xdr:cNvPr id="1045" name="AutoShape 21">
          <a:extLst>
            <a:ext uri="{FF2B5EF4-FFF2-40B4-BE49-F238E27FC236}">
              <a16:creationId xmlns:a16="http://schemas.microsoft.com/office/drawing/2014/main" id="{8D04C837-8502-FFDC-237F-7E6AC1B266CF}"/>
            </a:ext>
          </a:extLst>
        </xdr:cNvPr>
        <xdr:cNvSpPr>
          <a:spLocks noChangeArrowheads="1"/>
        </xdr:cNvSpPr>
      </xdr:nvSpPr>
      <xdr:spPr bwMode="auto">
        <a:xfrm rot="5598657">
          <a:off x="5010150" y="735330"/>
          <a:ext cx="144780" cy="16764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541020</xdr:colOff>
      <xdr:row>0</xdr:row>
      <xdr:rowOff>45720</xdr:rowOff>
    </xdr:from>
    <xdr:to>
      <xdr:col>7</xdr:col>
      <xdr:colOff>426720</xdr:colOff>
      <xdr:row>4</xdr:row>
      <xdr:rowOff>45720</xdr:rowOff>
    </xdr:to>
    <xdr:sp macro="" textlink="">
      <xdr:nvSpPr>
        <xdr:cNvPr id="1046" name="AutoShape 22">
          <a:extLst>
            <a:ext uri="{FF2B5EF4-FFF2-40B4-BE49-F238E27FC236}">
              <a16:creationId xmlns:a16="http://schemas.microsoft.com/office/drawing/2014/main" id="{4131C681-7B5E-2D46-4A85-B96C0C148705}"/>
            </a:ext>
          </a:extLst>
        </xdr:cNvPr>
        <xdr:cNvSpPr>
          <a:spLocks noChangeArrowheads="1"/>
        </xdr:cNvSpPr>
      </xdr:nvSpPr>
      <xdr:spPr bwMode="auto">
        <a:xfrm rot="-5374561">
          <a:off x="4107180" y="137160"/>
          <a:ext cx="678180" cy="495300"/>
        </a:xfrm>
        <a:prstGeom prst="flowChartDisplay">
          <a:avLst/>
        </a:prstGeom>
        <a:gradFill rotWithShape="0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0000FF" mc:Ignorable="a14" a14:legacySpreadsheetColorIndex="12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175260</xdr:colOff>
      <xdr:row>4</xdr:row>
      <xdr:rowOff>30480</xdr:rowOff>
    </xdr:from>
    <xdr:to>
      <xdr:col>7</xdr:col>
      <xdr:colOff>175260</xdr:colOff>
      <xdr:row>5</xdr:row>
      <xdr:rowOff>0</xdr:rowOff>
    </xdr:to>
    <xdr:sp macro="" textlink="">
      <xdr:nvSpPr>
        <xdr:cNvPr id="1049" name="Line 25">
          <a:extLst>
            <a:ext uri="{FF2B5EF4-FFF2-40B4-BE49-F238E27FC236}">
              <a16:creationId xmlns:a16="http://schemas.microsoft.com/office/drawing/2014/main" id="{C32F1A17-A1C0-7DE9-F77B-1059755B7DA2}"/>
            </a:ext>
          </a:extLst>
        </xdr:cNvPr>
        <xdr:cNvSpPr>
          <a:spLocks noChangeShapeType="1"/>
        </xdr:cNvSpPr>
      </xdr:nvSpPr>
      <xdr:spPr bwMode="auto">
        <a:xfrm>
          <a:off x="4442460" y="708660"/>
          <a:ext cx="0" cy="1371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175260</xdr:colOff>
      <xdr:row>9</xdr:row>
      <xdr:rowOff>129540</xdr:rowOff>
    </xdr:from>
    <xdr:to>
      <xdr:col>10</xdr:col>
      <xdr:colOff>335280</xdr:colOff>
      <xdr:row>10</xdr:row>
      <xdr:rowOff>99060</xdr:rowOff>
    </xdr:to>
    <xdr:sp macro="" textlink="">
      <xdr:nvSpPr>
        <xdr:cNvPr id="1050" name="AutoShape 26">
          <a:extLst>
            <a:ext uri="{FF2B5EF4-FFF2-40B4-BE49-F238E27FC236}">
              <a16:creationId xmlns:a16="http://schemas.microsoft.com/office/drawing/2014/main" id="{2820373D-738E-2518-7DE7-A36A2180CFD8}"/>
            </a:ext>
          </a:extLst>
        </xdr:cNvPr>
        <xdr:cNvSpPr>
          <a:spLocks noChangeArrowheads="1"/>
        </xdr:cNvSpPr>
      </xdr:nvSpPr>
      <xdr:spPr bwMode="auto">
        <a:xfrm rot="5598657">
          <a:off x="6278880" y="1638300"/>
          <a:ext cx="144780" cy="16002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426720</xdr:colOff>
      <xdr:row>12</xdr:row>
      <xdr:rowOff>0</xdr:rowOff>
    </xdr:from>
    <xdr:to>
      <xdr:col>9</xdr:col>
      <xdr:colOff>571500</xdr:colOff>
      <xdr:row>13</xdr:row>
      <xdr:rowOff>0</xdr:rowOff>
    </xdr:to>
    <xdr:sp macro="" textlink="">
      <xdr:nvSpPr>
        <xdr:cNvPr id="1051" name="AutoShape 27">
          <a:extLst>
            <a:ext uri="{FF2B5EF4-FFF2-40B4-BE49-F238E27FC236}">
              <a16:creationId xmlns:a16="http://schemas.microsoft.com/office/drawing/2014/main" id="{8BC4BD17-0F9C-06D6-0A99-3D00352580B3}"/>
            </a:ext>
          </a:extLst>
        </xdr:cNvPr>
        <xdr:cNvSpPr>
          <a:spLocks noChangeArrowheads="1"/>
        </xdr:cNvSpPr>
      </xdr:nvSpPr>
      <xdr:spPr bwMode="auto">
        <a:xfrm rot="10998657">
          <a:off x="5913120" y="2026920"/>
          <a:ext cx="144780" cy="167640"/>
        </a:xfrm>
        <a:prstGeom prst="triangle">
          <a:avLst>
            <a:gd name="adj" fmla="val 54389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480060</xdr:colOff>
      <xdr:row>16</xdr:row>
      <xdr:rowOff>0</xdr:rowOff>
    </xdr:from>
    <xdr:to>
      <xdr:col>12</xdr:col>
      <xdr:colOff>30480</xdr:colOff>
      <xdr:row>16</xdr:row>
      <xdr:rowOff>144780</xdr:rowOff>
    </xdr:to>
    <xdr:sp macro="" textlink="">
      <xdr:nvSpPr>
        <xdr:cNvPr id="1052" name="AutoShape 28">
          <a:extLst>
            <a:ext uri="{FF2B5EF4-FFF2-40B4-BE49-F238E27FC236}">
              <a16:creationId xmlns:a16="http://schemas.microsoft.com/office/drawing/2014/main" id="{C2656C0E-179D-FF26-6E4F-F1084E855A08}"/>
            </a:ext>
          </a:extLst>
        </xdr:cNvPr>
        <xdr:cNvSpPr>
          <a:spLocks noChangeArrowheads="1"/>
        </xdr:cNvSpPr>
      </xdr:nvSpPr>
      <xdr:spPr bwMode="auto">
        <a:xfrm rot="5598657">
          <a:off x="7193280" y="2743200"/>
          <a:ext cx="144780" cy="16002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571500</xdr:colOff>
      <xdr:row>12</xdr:row>
      <xdr:rowOff>45720</xdr:rowOff>
    </xdr:from>
    <xdr:to>
      <xdr:col>11</xdr:col>
      <xdr:colOff>106680</xdr:colOff>
      <xdr:row>13</xdr:row>
      <xdr:rowOff>45720</xdr:rowOff>
    </xdr:to>
    <xdr:sp macro="" textlink="">
      <xdr:nvSpPr>
        <xdr:cNvPr id="1053" name="AutoShape 29">
          <a:extLst>
            <a:ext uri="{FF2B5EF4-FFF2-40B4-BE49-F238E27FC236}">
              <a16:creationId xmlns:a16="http://schemas.microsoft.com/office/drawing/2014/main" id="{57C259A7-953B-8C7A-0731-F15DA90B9A9B}"/>
            </a:ext>
          </a:extLst>
        </xdr:cNvPr>
        <xdr:cNvSpPr>
          <a:spLocks noChangeArrowheads="1"/>
        </xdr:cNvSpPr>
      </xdr:nvSpPr>
      <xdr:spPr bwMode="auto">
        <a:xfrm rot="10998657">
          <a:off x="6667500" y="2072640"/>
          <a:ext cx="144780" cy="167640"/>
        </a:xfrm>
        <a:prstGeom prst="triangle">
          <a:avLst>
            <a:gd name="adj" fmla="val 54389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121920</xdr:colOff>
      <xdr:row>16</xdr:row>
      <xdr:rowOff>0</xdr:rowOff>
    </xdr:from>
    <xdr:to>
      <xdr:col>12</xdr:col>
      <xdr:colOff>350520</xdr:colOff>
      <xdr:row>16</xdr:row>
      <xdr:rowOff>144780</xdr:rowOff>
    </xdr:to>
    <xdr:sp macro="" textlink="">
      <xdr:nvSpPr>
        <xdr:cNvPr id="1054" name="Rectangle 30">
          <a:extLst>
            <a:ext uri="{FF2B5EF4-FFF2-40B4-BE49-F238E27FC236}">
              <a16:creationId xmlns:a16="http://schemas.microsoft.com/office/drawing/2014/main" id="{0E47C6AD-DAD9-5990-C425-9EF35F87361C}"/>
            </a:ext>
          </a:extLst>
        </xdr:cNvPr>
        <xdr:cNvSpPr>
          <a:spLocks noChangeArrowheads="1"/>
        </xdr:cNvSpPr>
      </xdr:nvSpPr>
      <xdr:spPr bwMode="auto">
        <a:xfrm>
          <a:off x="7437120" y="2750820"/>
          <a:ext cx="228600" cy="1447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236220</xdr:colOff>
      <xdr:row>9</xdr:row>
      <xdr:rowOff>129540</xdr:rowOff>
    </xdr:from>
    <xdr:to>
      <xdr:col>12</xdr:col>
      <xdr:colOff>236220</xdr:colOff>
      <xdr:row>16</xdr:row>
      <xdr:rowOff>0</xdr:rowOff>
    </xdr:to>
    <xdr:sp macro="" textlink="">
      <xdr:nvSpPr>
        <xdr:cNvPr id="1055" name="Line 31">
          <a:extLst>
            <a:ext uri="{FF2B5EF4-FFF2-40B4-BE49-F238E27FC236}">
              <a16:creationId xmlns:a16="http://schemas.microsoft.com/office/drawing/2014/main" id="{10B259A8-2FE9-2276-04C6-ADAF633538FE}"/>
            </a:ext>
          </a:extLst>
        </xdr:cNvPr>
        <xdr:cNvSpPr>
          <a:spLocks noChangeShapeType="1"/>
        </xdr:cNvSpPr>
      </xdr:nvSpPr>
      <xdr:spPr bwMode="auto">
        <a:xfrm flipV="1">
          <a:off x="7551420" y="1645920"/>
          <a:ext cx="0" cy="1104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594360</xdr:colOff>
      <xdr:row>7</xdr:row>
      <xdr:rowOff>22860</xdr:rowOff>
    </xdr:from>
    <xdr:to>
      <xdr:col>12</xdr:col>
      <xdr:colOff>495300</xdr:colOff>
      <xdr:row>9</xdr:row>
      <xdr:rowOff>144780</xdr:rowOff>
    </xdr:to>
    <xdr:sp macro="" textlink="">
      <xdr:nvSpPr>
        <xdr:cNvPr id="1056" name="Oval 32">
          <a:extLst>
            <a:ext uri="{FF2B5EF4-FFF2-40B4-BE49-F238E27FC236}">
              <a16:creationId xmlns:a16="http://schemas.microsoft.com/office/drawing/2014/main" id="{B45FCD82-EE56-4F77-0B11-C8951BB09CE4}"/>
            </a:ext>
          </a:extLst>
        </xdr:cNvPr>
        <xdr:cNvSpPr>
          <a:spLocks noChangeArrowheads="1"/>
        </xdr:cNvSpPr>
      </xdr:nvSpPr>
      <xdr:spPr bwMode="auto">
        <a:xfrm>
          <a:off x="7299960" y="1203960"/>
          <a:ext cx="510540" cy="457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P&amp;D</a:t>
          </a:r>
        </a:p>
      </xdr:txBody>
    </xdr:sp>
    <xdr:clientData/>
  </xdr:twoCellAnchor>
  <xdr:twoCellAnchor>
    <xdr:from>
      <xdr:col>11</xdr:col>
      <xdr:colOff>144780</xdr:colOff>
      <xdr:row>8</xdr:row>
      <xdr:rowOff>144780</xdr:rowOff>
    </xdr:from>
    <xdr:to>
      <xdr:col>11</xdr:col>
      <xdr:colOff>594360</xdr:colOff>
      <xdr:row>14</xdr:row>
      <xdr:rowOff>99060</xdr:rowOff>
    </xdr:to>
    <xdr:cxnSp macro="">
      <xdr:nvCxnSpPr>
        <xdr:cNvPr id="1058" name="AutoShape 34">
          <a:extLst>
            <a:ext uri="{FF2B5EF4-FFF2-40B4-BE49-F238E27FC236}">
              <a16:creationId xmlns:a16="http://schemas.microsoft.com/office/drawing/2014/main" id="{4F40A7D9-6A84-A33C-BC48-0D14E8573324}"/>
            </a:ext>
          </a:extLst>
        </xdr:cNvPr>
        <xdr:cNvCxnSpPr>
          <a:cxnSpLocks noChangeShapeType="1"/>
        </xdr:cNvCxnSpPr>
      </xdr:nvCxnSpPr>
      <xdr:spPr bwMode="auto">
        <a:xfrm rot="10800000" flipV="1">
          <a:off x="6850380" y="1493520"/>
          <a:ext cx="449580" cy="967740"/>
        </a:xfrm>
        <a:prstGeom prst="bentConnector3">
          <a:avLst>
            <a:gd name="adj1" fmla="val 48935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342900</xdr:colOff>
      <xdr:row>6</xdr:row>
      <xdr:rowOff>91440</xdr:rowOff>
    </xdr:from>
    <xdr:to>
      <xdr:col>12</xdr:col>
      <xdr:colOff>571500</xdr:colOff>
      <xdr:row>14</xdr:row>
      <xdr:rowOff>91440</xdr:rowOff>
    </xdr:to>
    <xdr:cxnSp macro="">
      <xdr:nvCxnSpPr>
        <xdr:cNvPr id="1059" name="AutoShape 35">
          <a:extLst>
            <a:ext uri="{FF2B5EF4-FFF2-40B4-BE49-F238E27FC236}">
              <a16:creationId xmlns:a16="http://schemas.microsoft.com/office/drawing/2014/main" id="{94A4795A-695E-E653-17F5-8BE73CEB80AD}"/>
            </a:ext>
          </a:extLst>
        </xdr:cNvPr>
        <xdr:cNvCxnSpPr>
          <a:cxnSpLocks noChangeShapeType="1"/>
          <a:stCxn id="1078" idx="2"/>
          <a:endCxn id="1030" idx="0"/>
        </xdr:cNvCxnSpPr>
      </xdr:nvCxnSpPr>
      <xdr:spPr bwMode="auto">
        <a:xfrm rot="10800000" flipV="1">
          <a:off x="5829300" y="1104900"/>
          <a:ext cx="2057400" cy="1348740"/>
        </a:xfrm>
        <a:prstGeom prst="bentConnector3">
          <a:avLst>
            <a:gd name="adj1" fmla="val 111574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22</xdr:row>
          <xdr:rowOff>121920</xdr:rowOff>
        </xdr:from>
        <xdr:to>
          <xdr:col>4</xdr:col>
          <xdr:colOff>533400</xdr:colOff>
          <xdr:row>27</xdr:row>
          <xdr:rowOff>152400</xdr:rowOff>
        </xdr:to>
        <xdr:sp macro="" textlink="">
          <xdr:nvSpPr>
            <xdr:cNvPr id="1076" name="CommandButton1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769B468A-CFEB-9C9E-CB31-31587C64D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30480</xdr:colOff>
      <xdr:row>0</xdr:row>
      <xdr:rowOff>30480</xdr:rowOff>
    </xdr:from>
    <xdr:to>
      <xdr:col>39</xdr:col>
      <xdr:colOff>487680</xdr:colOff>
      <xdr:row>30</xdr:row>
      <xdr:rowOff>99060</xdr:rowOff>
    </xdr:to>
    <xdr:graphicFrame macro="">
      <xdr:nvGraphicFramePr>
        <xdr:cNvPr id="1077" name="Gráfico 53">
          <a:extLst>
            <a:ext uri="{FF2B5EF4-FFF2-40B4-BE49-F238E27FC236}">
              <a16:creationId xmlns:a16="http://schemas.microsoft.com/office/drawing/2014/main" id="{CAE7114D-3E82-DBBF-DA37-EA8B55F36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571500</xdr:colOff>
      <xdr:row>5</xdr:row>
      <xdr:rowOff>22860</xdr:rowOff>
    </xdr:from>
    <xdr:to>
      <xdr:col>13</xdr:col>
      <xdr:colOff>480060</xdr:colOff>
      <xdr:row>7</xdr:row>
      <xdr:rowOff>144780</xdr:rowOff>
    </xdr:to>
    <xdr:sp macro="" textlink="">
      <xdr:nvSpPr>
        <xdr:cNvPr id="1078" name="Oval 54">
          <a:extLst>
            <a:ext uri="{FF2B5EF4-FFF2-40B4-BE49-F238E27FC236}">
              <a16:creationId xmlns:a16="http://schemas.microsoft.com/office/drawing/2014/main" id="{34B64504-55B0-A936-C02E-92F9C0A3FD4E}"/>
            </a:ext>
          </a:extLst>
        </xdr:cNvPr>
        <xdr:cNvSpPr>
          <a:spLocks noChangeArrowheads="1"/>
        </xdr:cNvSpPr>
      </xdr:nvSpPr>
      <xdr:spPr bwMode="auto">
        <a:xfrm>
          <a:off x="7886700" y="868680"/>
          <a:ext cx="518160" cy="457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P&amp;D</a:t>
          </a:r>
        </a:p>
      </xdr:txBody>
    </xdr:sp>
    <xdr:clientData/>
  </xdr:twoCellAnchor>
  <xdr:twoCellAnchor>
    <xdr:from>
      <xdr:col>12</xdr:col>
      <xdr:colOff>289560</xdr:colOff>
      <xdr:row>7</xdr:row>
      <xdr:rowOff>144780</xdr:rowOff>
    </xdr:from>
    <xdr:to>
      <xdr:col>13</xdr:col>
      <xdr:colOff>220980</xdr:colOff>
      <xdr:row>16</xdr:row>
      <xdr:rowOff>45720</xdr:rowOff>
    </xdr:to>
    <xdr:cxnSp macro="">
      <xdr:nvCxnSpPr>
        <xdr:cNvPr id="1079" name="AutoShape 55">
          <a:extLst>
            <a:ext uri="{FF2B5EF4-FFF2-40B4-BE49-F238E27FC236}">
              <a16:creationId xmlns:a16="http://schemas.microsoft.com/office/drawing/2014/main" id="{221B438D-C163-EF6C-42E9-1FC204561F64}"/>
            </a:ext>
          </a:extLst>
        </xdr:cNvPr>
        <xdr:cNvCxnSpPr>
          <a:cxnSpLocks noChangeShapeType="1"/>
          <a:stCxn id="1078" idx="4"/>
        </xdr:cNvCxnSpPr>
      </xdr:nvCxnSpPr>
      <xdr:spPr bwMode="auto">
        <a:xfrm rot="5400000">
          <a:off x="7139940" y="1790700"/>
          <a:ext cx="1470660" cy="541020"/>
        </a:xfrm>
        <a:prstGeom prst="bentConnector3">
          <a:avLst>
            <a:gd name="adj1" fmla="val 49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38100</xdr:colOff>
      <xdr:row>16</xdr:row>
      <xdr:rowOff>76200</xdr:rowOff>
    </xdr:from>
    <xdr:to>
      <xdr:col>13</xdr:col>
      <xdr:colOff>38100</xdr:colOff>
      <xdr:row>37</xdr:row>
      <xdr:rowOff>121920</xdr:rowOff>
    </xdr:to>
    <xdr:sp macro="" textlink="">
      <xdr:nvSpPr>
        <xdr:cNvPr id="1080" name="Line 56">
          <a:extLst>
            <a:ext uri="{FF2B5EF4-FFF2-40B4-BE49-F238E27FC236}">
              <a16:creationId xmlns:a16="http://schemas.microsoft.com/office/drawing/2014/main" id="{5826B39B-E363-6E50-0F27-F83DEEC94CC3}"/>
            </a:ext>
          </a:extLst>
        </xdr:cNvPr>
        <xdr:cNvSpPr>
          <a:spLocks noChangeShapeType="1"/>
        </xdr:cNvSpPr>
      </xdr:nvSpPr>
      <xdr:spPr bwMode="auto">
        <a:xfrm>
          <a:off x="7962900" y="2827020"/>
          <a:ext cx="0" cy="3581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495300</xdr:colOff>
      <xdr:row>28</xdr:row>
      <xdr:rowOff>60960</xdr:rowOff>
    </xdr:from>
    <xdr:to>
      <xdr:col>10</xdr:col>
      <xdr:colOff>144780</xdr:colOff>
      <xdr:row>37</xdr:row>
      <xdr:rowOff>22860</xdr:rowOff>
    </xdr:to>
    <xdr:sp macro="" textlink="">
      <xdr:nvSpPr>
        <xdr:cNvPr id="1081" name="AutoShape 57">
          <a:extLst>
            <a:ext uri="{FF2B5EF4-FFF2-40B4-BE49-F238E27FC236}">
              <a16:creationId xmlns:a16="http://schemas.microsoft.com/office/drawing/2014/main" id="{2EA63A23-3463-1A1C-7B56-C7E61664D935}"/>
            </a:ext>
          </a:extLst>
        </xdr:cNvPr>
        <xdr:cNvSpPr>
          <a:spLocks noChangeArrowheads="1"/>
        </xdr:cNvSpPr>
      </xdr:nvSpPr>
      <xdr:spPr bwMode="auto">
        <a:xfrm rot="-5374561">
          <a:off x="5071110" y="5139690"/>
          <a:ext cx="1470660" cy="868680"/>
        </a:xfrm>
        <a:prstGeom prst="flowChartDisplay">
          <a:avLst/>
        </a:prstGeom>
        <a:gradFill rotWithShape="0">
          <a:gsLst>
            <a:gs pos="0">
              <a:srgbClr xmlns:mc="http://schemas.openxmlformats.org/markup-compatibility/2006" xmlns:a14="http://schemas.microsoft.com/office/drawing/2010/main" val="FFCC99" mc:Ignorable="a14" a14:legacySpreadsheetColorIndex="47"/>
            </a:gs>
            <a:gs pos="100000">
              <a:srgbClr xmlns:mc="http://schemas.openxmlformats.org/markup-compatibility/2006" xmlns:a14="http://schemas.microsoft.com/office/drawing/2010/main" val="FFCC00" mc:Ignorable="a14" a14:legacySpreadsheetColorIndex="51"/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304800</xdr:colOff>
      <xdr:row>37</xdr:row>
      <xdr:rowOff>121920</xdr:rowOff>
    </xdr:from>
    <xdr:to>
      <xdr:col>13</xdr:col>
      <xdr:colOff>38100</xdr:colOff>
      <xdr:row>37</xdr:row>
      <xdr:rowOff>121920</xdr:rowOff>
    </xdr:to>
    <xdr:sp macro="" textlink="">
      <xdr:nvSpPr>
        <xdr:cNvPr id="1082" name="Line 58">
          <a:extLst>
            <a:ext uri="{FF2B5EF4-FFF2-40B4-BE49-F238E27FC236}">
              <a16:creationId xmlns:a16="http://schemas.microsoft.com/office/drawing/2014/main" id="{229AFCAA-CBD0-76E4-F03C-63F36B72009B}"/>
            </a:ext>
          </a:extLst>
        </xdr:cNvPr>
        <xdr:cNvSpPr>
          <a:spLocks noChangeShapeType="1"/>
        </xdr:cNvSpPr>
      </xdr:nvSpPr>
      <xdr:spPr bwMode="auto">
        <a:xfrm flipH="1">
          <a:off x="5791200" y="6408420"/>
          <a:ext cx="2171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2:T825"/>
  <sheetViews>
    <sheetView showGridLines="0" showRowColHeaders="0" tabSelected="1" zoomScale="50" workbookViewId="0">
      <selection activeCell="V46" sqref="V46"/>
    </sheetView>
  </sheetViews>
  <sheetFormatPr defaultRowHeight="13.2" x14ac:dyDescent="0.25"/>
  <sheetData>
    <row r="2" spans="2:20" ht="13.8" thickBot="1" x14ac:dyDescent="0.3"/>
    <row r="3" spans="2:20" x14ac:dyDescent="0.25">
      <c r="C3" s="2" t="s">
        <v>3</v>
      </c>
      <c r="D3" s="3"/>
      <c r="E3" s="4"/>
    </row>
    <row r="4" spans="2:20" x14ac:dyDescent="0.25">
      <c r="C4" s="5"/>
      <c r="D4" s="6"/>
      <c r="E4" s="7"/>
      <c r="I4" s="16" t="s">
        <v>4</v>
      </c>
      <c r="N4" t="s">
        <v>1</v>
      </c>
      <c r="O4" t="s">
        <v>25</v>
      </c>
      <c r="P4" t="s">
        <v>5</v>
      </c>
      <c r="Q4" t="s">
        <v>8</v>
      </c>
      <c r="R4" t="s">
        <v>9</v>
      </c>
      <c r="S4" t="s">
        <v>24</v>
      </c>
      <c r="T4" t="s">
        <v>4</v>
      </c>
    </row>
    <row r="5" spans="2:20" x14ac:dyDescent="0.25">
      <c r="C5" s="8" t="s">
        <v>0</v>
      </c>
      <c r="D5" s="9"/>
      <c r="E5" s="7"/>
      <c r="N5">
        <v>2000</v>
      </c>
      <c r="O5" s="1">
        <f ca="1">$C$9+(RAND()-0.5)*$C$6</f>
        <v>16.522726804132564</v>
      </c>
      <c r="P5" s="21">
        <f ca="1">$G$26+(RAND()-0.5)*$G$23</f>
        <v>499.92957704567135</v>
      </c>
      <c r="Q5">
        <v>65</v>
      </c>
      <c r="R5">
        <v>80</v>
      </c>
      <c r="S5">
        <v>11.526167591151522</v>
      </c>
      <c r="T5" s="21">
        <v>215</v>
      </c>
    </row>
    <row r="6" spans="2:20" x14ac:dyDescent="0.25">
      <c r="C6" s="10">
        <v>0.1</v>
      </c>
      <c r="D6" s="6"/>
      <c r="E6" s="7" t="s">
        <v>15</v>
      </c>
      <c r="N6">
        <v>1992</v>
      </c>
      <c r="O6" s="1">
        <f t="shared" ref="O6:O69" ca="1" si="0">$C$9+(RAND()-0.5)*$C$6</f>
        <v>16.532287635370057</v>
      </c>
      <c r="P6" s="21">
        <f t="shared" ref="P6:P69" ca="1" si="1">$G$26+(RAND()-0.5)*$G$23</f>
        <v>499.93104967311154</v>
      </c>
      <c r="Q6">
        <v>67</v>
      </c>
      <c r="R6">
        <v>82</v>
      </c>
      <c r="S6">
        <v>11.442585229392133</v>
      </c>
      <c r="T6" s="21">
        <v>221.32914201183434</v>
      </c>
    </row>
    <row r="7" spans="2:20" x14ac:dyDescent="0.25">
      <c r="C7" s="5"/>
      <c r="D7" s="6"/>
      <c r="E7" s="7"/>
      <c r="N7">
        <v>1984</v>
      </c>
      <c r="O7" s="1">
        <f t="shared" ca="1" si="0"/>
        <v>16.535068173323761</v>
      </c>
      <c r="P7" s="21">
        <f t="shared" ca="1" si="1"/>
        <v>500.27295706995022</v>
      </c>
      <c r="Q7">
        <v>69</v>
      </c>
      <c r="R7">
        <v>84</v>
      </c>
      <c r="S7">
        <v>11.345193865950439</v>
      </c>
      <c r="T7" s="21">
        <v>227.6570816941194</v>
      </c>
    </row>
    <row r="8" spans="2:20" x14ac:dyDescent="0.25">
      <c r="C8" s="8" t="s">
        <v>2</v>
      </c>
      <c r="D8" s="9"/>
      <c r="E8" s="7"/>
      <c r="N8">
        <v>1976</v>
      </c>
      <c r="O8" s="1">
        <f t="shared" ca="1" si="0"/>
        <v>16.484200653814238</v>
      </c>
      <c r="P8" s="21">
        <f t="shared" ca="1" si="1"/>
        <v>500.24885933557675</v>
      </c>
      <c r="Q8">
        <v>71</v>
      </c>
      <c r="R8">
        <v>86</v>
      </c>
      <c r="S8">
        <v>11.267869838758136</v>
      </c>
      <c r="T8" s="21">
        <v>233.98391092737688</v>
      </c>
    </row>
    <row r="9" spans="2:20" x14ac:dyDescent="0.25">
      <c r="C9" s="10">
        <v>16.5</v>
      </c>
      <c r="D9" s="6"/>
      <c r="E9" s="7" t="s">
        <v>15</v>
      </c>
      <c r="N9">
        <v>1968</v>
      </c>
      <c r="O9" s="1">
        <f t="shared" ca="1" si="0"/>
        <v>16.487673331510134</v>
      </c>
      <c r="P9" s="21">
        <f t="shared" ca="1" si="1"/>
        <v>500.38386168816345</v>
      </c>
      <c r="Q9">
        <v>73</v>
      </c>
      <c r="R9">
        <v>88</v>
      </c>
      <c r="S9">
        <v>11.15207671038308</v>
      </c>
      <c r="T9" s="21">
        <v>240.30971244480176</v>
      </c>
    </row>
    <row r="10" spans="2:20" ht="13.8" thickBot="1" x14ac:dyDescent="0.3">
      <c r="C10" s="11"/>
      <c r="D10" s="12"/>
      <c r="E10" s="13"/>
      <c r="N10">
        <v>1960</v>
      </c>
      <c r="O10" s="1">
        <f t="shared" ca="1" si="0"/>
        <v>16.463510701717109</v>
      </c>
      <c r="P10" s="21">
        <f t="shared" ca="1" si="1"/>
        <v>499.80172237026846</v>
      </c>
      <c r="Q10">
        <v>75</v>
      </c>
      <c r="R10">
        <v>90</v>
      </c>
      <c r="S10">
        <v>11.03073970643711</v>
      </c>
      <c r="T10" s="21">
        <v>246.63456094506128</v>
      </c>
    </row>
    <row r="11" spans="2:20" x14ac:dyDescent="0.25">
      <c r="N11">
        <v>1952</v>
      </c>
      <c r="O11" s="1">
        <f t="shared" ca="1" si="0"/>
        <v>16.459919649339927</v>
      </c>
      <c r="P11" s="21">
        <f t="shared" ca="1" si="1"/>
        <v>499.5978125697477</v>
      </c>
      <c r="Q11">
        <v>73</v>
      </c>
      <c r="R11">
        <v>88</v>
      </c>
      <c r="S11">
        <v>11.140580321630498</v>
      </c>
      <c r="T11" s="21">
        <v>240.31059784390587</v>
      </c>
    </row>
    <row r="12" spans="2:20" x14ac:dyDescent="0.25">
      <c r="N12">
        <v>1944</v>
      </c>
      <c r="O12" s="1">
        <f t="shared" ca="1" si="0"/>
        <v>16.480620533275431</v>
      </c>
      <c r="P12" s="21">
        <f t="shared" ca="1" si="1"/>
        <v>499.81446926836207</v>
      </c>
      <c r="Q12">
        <v>71</v>
      </c>
      <c r="R12">
        <v>86</v>
      </c>
      <c r="S12">
        <v>11.260596974472337</v>
      </c>
      <c r="T12" s="21">
        <v>233.98572604032191</v>
      </c>
    </row>
    <row r="13" spans="2:20" x14ac:dyDescent="0.25">
      <c r="J13" s="15" t="s">
        <v>6</v>
      </c>
      <c r="L13" s="17" t="s">
        <v>7</v>
      </c>
      <c r="N13">
        <v>1936</v>
      </c>
      <c r="O13" s="1">
        <f t="shared" ca="1" si="0"/>
        <v>16.515757764294616</v>
      </c>
      <c r="P13" s="21">
        <f t="shared" ca="1" si="1"/>
        <v>500.15589269064122</v>
      </c>
      <c r="Q13">
        <v>73</v>
      </c>
      <c r="R13">
        <v>88</v>
      </c>
      <c r="S13">
        <v>11.109135621693186</v>
      </c>
      <c r="T13" s="21">
        <v>240.31157662968587</v>
      </c>
    </row>
    <row r="14" spans="2:20" x14ac:dyDescent="0.25">
      <c r="N14">
        <v>1928</v>
      </c>
      <c r="O14" s="1">
        <f t="shared" ca="1" si="0"/>
        <v>16.45981904048552</v>
      </c>
      <c r="P14" s="21">
        <f t="shared" ca="1" si="1"/>
        <v>500.33264339035077</v>
      </c>
      <c r="Q14">
        <v>71</v>
      </c>
      <c r="R14">
        <v>86</v>
      </c>
      <c r="S14">
        <v>11.218482987668709</v>
      </c>
      <c r="T14" s="21">
        <v>233.98667906488024</v>
      </c>
    </row>
    <row r="15" spans="2:20" x14ac:dyDescent="0.25">
      <c r="H15" s="16" t="s">
        <v>5</v>
      </c>
      <c r="J15" s="18"/>
      <c r="N15">
        <v>1920</v>
      </c>
      <c r="O15" s="1">
        <f t="shared" ca="1" si="0"/>
        <v>16.483487470188198</v>
      </c>
      <c r="P15" s="21">
        <f t="shared" ca="1" si="1"/>
        <v>500.32861115207123</v>
      </c>
      <c r="Q15">
        <v>73</v>
      </c>
      <c r="R15">
        <v>88</v>
      </c>
      <c r="S15">
        <v>11.122008469650325</v>
      </c>
      <c r="T15" s="21">
        <v>240.31255541945245</v>
      </c>
    </row>
    <row r="16" spans="2:20" ht="17.399999999999999" x14ac:dyDescent="0.3">
      <c r="B16" s="14" t="s">
        <v>26</v>
      </c>
      <c r="G16" s="14" t="s">
        <v>25</v>
      </c>
      <c r="J16" s="19" t="s">
        <v>8</v>
      </c>
      <c r="L16" s="20" t="s">
        <v>9</v>
      </c>
      <c r="M16" s="14" t="s">
        <v>24</v>
      </c>
      <c r="N16">
        <v>1912</v>
      </c>
      <c r="O16" s="1">
        <f t="shared" ca="1" si="0"/>
        <v>16.488882113330021</v>
      </c>
      <c r="P16" s="21">
        <f t="shared" ca="1" si="1"/>
        <v>500.4647366787882</v>
      </c>
      <c r="Q16">
        <v>71</v>
      </c>
      <c r="R16">
        <v>86</v>
      </c>
      <c r="S16">
        <v>11.253696911292707</v>
      </c>
      <c r="T16" s="21">
        <v>233.98763209332023</v>
      </c>
    </row>
    <row r="17" spans="7:20" x14ac:dyDescent="0.25">
      <c r="N17">
        <v>1904</v>
      </c>
      <c r="O17" s="1">
        <f t="shared" ca="1" si="0"/>
        <v>16.490005015851832</v>
      </c>
      <c r="P17" s="21">
        <f t="shared" ca="1" si="1"/>
        <v>500.36110161367543</v>
      </c>
      <c r="Q17">
        <v>73</v>
      </c>
      <c r="R17">
        <v>88</v>
      </c>
      <c r="S17">
        <v>11.117646707525926</v>
      </c>
      <c r="T17" s="21">
        <v>240.31353421320566</v>
      </c>
    </row>
    <row r="18" spans="7:20" ht="13.8" thickBot="1" x14ac:dyDescent="0.3">
      <c r="N18">
        <v>1896</v>
      </c>
      <c r="O18" s="1">
        <f t="shared" ca="1" si="0"/>
        <v>16.45510865137209</v>
      </c>
      <c r="P18" s="21">
        <f t="shared" ca="1" si="1"/>
        <v>500.25793926110947</v>
      </c>
      <c r="Q18">
        <v>71</v>
      </c>
      <c r="R18">
        <v>86</v>
      </c>
      <c r="S18">
        <v>11.213040610602869</v>
      </c>
      <c r="T18" s="21">
        <v>233.98858512564189</v>
      </c>
    </row>
    <row r="19" spans="7:20" x14ac:dyDescent="0.25">
      <c r="G19" s="2" t="s">
        <v>10</v>
      </c>
      <c r="H19" s="3"/>
      <c r="I19" s="4"/>
      <c r="K19" s="31" t="s">
        <v>16</v>
      </c>
      <c r="L19" s="32"/>
      <c r="M19" s="33"/>
      <c r="N19">
        <v>1888</v>
      </c>
      <c r="O19" s="1">
        <f t="shared" ca="1" si="0"/>
        <v>16.544764414661923</v>
      </c>
      <c r="P19" s="21">
        <f t="shared" ca="1" si="1"/>
        <v>499.69345178351921</v>
      </c>
      <c r="Q19">
        <v>73</v>
      </c>
      <c r="R19">
        <v>88</v>
      </c>
      <c r="S19">
        <v>11.120496190220608</v>
      </c>
      <c r="T19" s="21">
        <v>240.31451301094549</v>
      </c>
    </row>
    <row r="20" spans="7:20" x14ac:dyDescent="0.25">
      <c r="G20" s="5" t="s">
        <v>11</v>
      </c>
      <c r="H20" s="6"/>
      <c r="I20" s="7"/>
      <c r="K20" s="23" t="s">
        <v>4</v>
      </c>
      <c r="L20" s="28">
        <v>215</v>
      </c>
      <c r="M20" s="24" t="s">
        <v>14</v>
      </c>
      <c r="N20">
        <v>1880</v>
      </c>
      <c r="O20" s="1">
        <f t="shared" ca="1" si="0"/>
        <v>16.471306812045881</v>
      </c>
      <c r="P20" s="21">
        <f t="shared" ca="1" si="1"/>
        <v>500.46024936133296</v>
      </c>
      <c r="Q20">
        <v>71</v>
      </c>
      <c r="R20">
        <v>86</v>
      </c>
      <c r="S20">
        <v>11.213853177997612</v>
      </c>
      <c r="T20" s="21">
        <v>233.98953816184527</v>
      </c>
    </row>
    <row r="21" spans="7:20" x14ac:dyDescent="0.25">
      <c r="G21" s="5"/>
      <c r="H21" s="6"/>
      <c r="I21" s="7"/>
      <c r="K21" s="23" t="s">
        <v>18</v>
      </c>
      <c r="L21" s="28">
        <v>2.5</v>
      </c>
      <c r="M21" s="25" t="s">
        <v>17</v>
      </c>
      <c r="N21">
        <v>1872</v>
      </c>
      <c r="O21" s="1">
        <f t="shared" ca="1" si="0"/>
        <v>16.544277610168631</v>
      </c>
      <c r="P21" s="21">
        <f t="shared" ca="1" si="1"/>
        <v>500.25675025099326</v>
      </c>
      <c r="Q21">
        <v>73</v>
      </c>
      <c r="R21">
        <v>88</v>
      </c>
      <c r="S21">
        <v>11.114809995885011</v>
      </c>
      <c r="T21" s="21">
        <v>240.31549181267198</v>
      </c>
    </row>
    <row r="22" spans="7:20" x14ac:dyDescent="0.25">
      <c r="G22" s="8" t="s">
        <v>12</v>
      </c>
      <c r="H22" s="9"/>
      <c r="I22" s="7"/>
      <c r="K22" s="23" t="s">
        <v>19</v>
      </c>
      <c r="L22" s="28">
        <v>0.75</v>
      </c>
      <c r="M22" s="25" t="s">
        <v>17</v>
      </c>
      <c r="N22">
        <v>1864</v>
      </c>
      <c r="O22" s="1">
        <f t="shared" ca="1" si="0"/>
        <v>16.511537476113318</v>
      </c>
      <c r="P22" s="21">
        <f t="shared" ca="1" si="1"/>
        <v>500.34307876564947</v>
      </c>
      <c r="Q22">
        <v>71</v>
      </c>
      <c r="R22">
        <v>86</v>
      </c>
      <c r="S22">
        <v>11.265778289630365</v>
      </c>
      <c r="T22" s="21">
        <v>233.99049120193038</v>
      </c>
    </row>
    <row r="23" spans="7:20" x14ac:dyDescent="0.25">
      <c r="G23" s="22">
        <v>1</v>
      </c>
      <c r="H23" s="6"/>
      <c r="I23" s="7" t="s">
        <v>14</v>
      </c>
      <c r="K23" s="23" t="s">
        <v>8</v>
      </c>
      <c r="L23" s="28">
        <v>65</v>
      </c>
      <c r="M23" s="24" t="s">
        <v>20</v>
      </c>
      <c r="N23">
        <v>1856</v>
      </c>
      <c r="O23" s="1">
        <f t="shared" ca="1" si="0"/>
        <v>16.523767328079739</v>
      </c>
      <c r="P23" s="21">
        <f t="shared" ca="1" si="1"/>
        <v>500.34351953439278</v>
      </c>
      <c r="Q23">
        <v>73</v>
      </c>
      <c r="R23">
        <v>88</v>
      </c>
      <c r="S23">
        <v>11.124328427851042</v>
      </c>
      <c r="T23" s="21">
        <v>240.31647061838513</v>
      </c>
    </row>
    <row r="24" spans="7:20" x14ac:dyDescent="0.25">
      <c r="G24" s="5"/>
      <c r="H24" s="6"/>
      <c r="I24" s="7"/>
      <c r="K24" s="23" t="s">
        <v>22</v>
      </c>
      <c r="L24" s="28">
        <v>2</v>
      </c>
      <c r="M24" s="24" t="s">
        <v>20</v>
      </c>
      <c r="N24">
        <v>1848</v>
      </c>
      <c r="O24" s="1">
        <f t="shared" ca="1" si="0"/>
        <v>16.539892569902573</v>
      </c>
      <c r="P24" s="21">
        <f t="shared" ca="1" si="1"/>
        <v>500.10485331291318</v>
      </c>
      <c r="Q24">
        <v>71</v>
      </c>
      <c r="R24">
        <v>86</v>
      </c>
      <c r="S24">
        <v>11.255915122748402</v>
      </c>
      <c r="T24" s="21">
        <v>233.99144424589724</v>
      </c>
    </row>
    <row r="25" spans="7:20" x14ac:dyDescent="0.25">
      <c r="G25" s="8" t="s">
        <v>13</v>
      </c>
      <c r="H25" s="9"/>
      <c r="I25" s="7"/>
      <c r="K25" s="23" t="s">
        <v>9</v>
      </c>
      <c r="L25" s="28">
        <v>80</v>
      </c>
      <c r="M25" s="24" t="s">
        <v>20</v>
      </c>
      <c r="N25">
        <v>1840</v>
      </c>
      <c r="O25" s="1">
        <f t="shared" ca="1" si="0"/>
        <v>16.492013663383542</v>
      </c>
      <c r="P25" s="21">
        <f t="shared" ca="1" si="1"/>
        <v>499.68667244808279</v>
      </c>
      <c r="Q25">
        <v>73</v>
      </c>
      <c r="R25">
        <v>88</v>
      </c>
      <c r="S25">
        <v>11.140958517813585</v>
      </c>
      <c r="T25" s="21">
        <v>240.31744942808496</v>
      </c>
    </row>
    <row r="26" spans="7:20" x14ac:dyDescent="0.25">
      <c r="G26" s="22">
        <v>500</v>
      </c>
      <c r="H26" s="6"/>
      <c r="I26" s="7" t="s">
        <v>14</v>
      </c>
      <c r="K26" s="23" t="s">
        <v>23</v>
      </c>
      <c r="L26" s="28">
        <v>2</v>
      </c>
      <c r="M26" s="24" t="s">
        <v>20</v>
      </c>
      <c r="N26">
        <v>1832</v>
      </c>
      <c r="O26" s="1">
        <f t="shared" ca="1" si="0"/>
        <v>16.505488939739756</v>
      </c>
      <c r="P26" s="21">
        <f t="shared" ca="1" si="1"/>
        <v>499.90519159456659</v>
      </c>
      <c r="Q26">
        <v>71</v>
      </c>
      <c r="R26">
        <v>86</v>
      </c>
      <c r="S26">
        <v>11.206996129984493</v>
      </c>
      <c r="T26" s="21">
        <v>233.99239729374582</v>
      </c>
    </row>
    <row r="27" spans="7:20" x14ac:dyDescent="0.25">
      <c r="G27" s="5"/>
      <c r="H27" s="6"/>
      <c r="I27" s="7"/>
      <c r="K27" s="23" t="s">
        <v>21</v>
      </c>
      <c r="L27" s="30">
        <v>11.15</v>
      </c>
      <c r="M27" s="24" t="s">
        <v>15</v>
      </c>
      <c r="N27">
        <v>1824</v>
      </c>
      <c r="O27" s="1">
        <f t="shared" ca="1" si="0"/>
        <v>16.509931997163864</v>
      </c>
      <c r="P27" s="21">
        <f t="shared" ca="1" si="1"/>
        <v>499.91952725865144</v>
      </c>
      <c r="Q27">
        <v>73</v>
      </c>
      <c r="R27">
        <v>88</v>
      </c>
      <c r="S27">
        <v>11.167609043950209</v>
      </c>
      <c r="T27" s="21">
        <v>240.31842824177147</v>
      </c>
    </row>
    <row r="28" spans="7:20" ht="13.8" thickBot="1" x14ac:dyDescent="0.3">
      <c r="G28" s="11"/>
      <c r="H28" s="12"/>
      <c r="I28" s="13"/>
      <c r="K28" s="26"/>
      <c r="L28" s="29"/>
      <c r="M28" s="27"/>
      <c r="N28">
        <v>1816</v>
      </c>
      <c r="O28" s="1">
        <f t="shared" ca="1" si="0"/>
        <v>16.458674010695692</v>
      </c>
      <c r="P28" s="21">
        <f t="shared" ca="1" si="1"/>
        <v>500.15254782015546</v>
      </c>
      <c r="Q28">
        <v>75</v>
      </c>
      <c r="R28">
        <v>90</v>
      </c>
      <c r="S28">
        <v>11.071602748816716</v>
      </c>
      <c r="T28" s="21">
        <v>246.64350613806675</v>
      </c>
    </row>
    <row r="29" spans="7:20" x14ac:dyDescent="0.25">
      <c r="N29">
        <v>1808</v>
      </c>
      <c r="O29" s="1">
        <f t="shared" ca="1" si="0"/>
        <v>16.522502735497859</v>
      </c>
      <c r="P29" s="21">
        <f t="shared" ca="1" si="1"/>
        <v>500.43730794641482</v>
      </c>
      <c r="Q29">
        <v>73</v>
      </c>
      <c r="R29">
        <v>88</v>
      </c>
      <c r="S29">
        <v>11.118057164706666</v>
      </c>
      <c r="T29" s="21">
        <v>240.3193136729881</v>
      </c>
    </row>
    <row r="30" spans="7:20" x14ac:dyDescent="0.25">
      <c r="N30">
        <v>1800</v>
      </c>
      <c r="O30" s="1">
        <f t="shared" ca="1" si="0"/>
        <v>16.484291972058806</v>
      </c>
      <c r="P30" s="21">
        <f t="shared" ca="1" si="1"/>
        <v>499.72008868168939</v>
      </c>
      <c r="Q30">
        <v>71</v>
      </c>
      <c r="R30">
        <v>86</v>
      </c>
      <c r="S30">
        <v>11.272723430832704</v>
      </c>
      <c r="T30" s="21">
        <v>233.99421247252317</v>
      </c>
    </row>
    <row r="31" spans="7:20" x14ac:dyDescent="0.25">
      <c r="N31">
        <v>1792</v>
      </c>
      <c r="O31" s="1">
        <f t="shared" ca="1" si="0"/>
        <v>16.528458719599033</v>
      </c>
      <c r="P31" s="21">
        <f t="shared" ca="1" si="1"/>
        <v>499.80939358825293</v>
      </c>
      <c r="Q31">
        <v>73</v>
      </c>
      <c r="R31">
        <v>88</v>
      </c>
      <c r="S31">
        <v>11.139323446995379</v>
      </c>
      <c r="T31" s="21">
        <v>240.32029249426768</v>
      </c>
    </row>
    <row r="32" spans="7:20" x14ac:dyDescent="0.25">
      <c r="N32">
        <v>1784</v>
      </c>
      <c r="O32" s="1">
        <f t="shared" ca="1" si="0"/>
        <v>16.470680791648942</v>
      </c>
      <c r="P32" s="21">
        <f t="shared" ca="1" si="1"/>
        <v>499.89314896356819</v>
      </c>
      <c r="Q32">
        <v>71</v>
      </c>
      <c r="R32">
        <v>86</v>
      </c>
      <c r="S32">
        <v>11.268691773910787</v>
      </c>
      <c r="T32" s="21">
        <v>233.99516553164676</v>
      </c>
    </row>
    <row r="33" spans="14:20" x14ac:dyDescent="0.25">
      <c r="N33">
        <v>1776</v>
      </c>
      <c r="O33" s="1">
        <f t="shared" ca="1" si="0"/>
        <v>16.459601368741055</v>
      </c>
      <c r="P33" s="21">
        <f t="shared" ca="1" si="1"/>
        <v>500.07113954591046</v>
      </c>
      <c r="Q33">
        <v>73</v>
      </c>
      <c r="R33">
        <v>88</v>
      </c>
      <c r="S33">
        <v>11.149329000643244</v>
      </c>
      <c r="T33" s="21">
        <v>240.32127131953402</v>
      </c>
    </row>
    <row r="34" spans="14:20" x14ac:dyDescent="0.25">
      <c r="N34">
        <v>1768</v>
      </c>
      <c r="O34" s="1">
        <f t="shared" ca="1" si="0"/>
        <v>16.5011456534084</v>
      </c>
      <c r="P34" s="21">
        <f t="shared" ca="1" si="1"/>
        <v>500.00705523907732</v>
      </c>
      <c r="Q34">
        <v>75</v>
      </c>
      <c r="R34">
        <v>90</v>
      </c>
      <c r="S34">
        <v>11.012700730348417</v>
      </c>
      <c r="T34" s="21">
        <v>246.64642404441588</v>
      </c>
    </row>
    <row r="35" spans="14:20" x14ac:dyDescent="0.25">
      <c r="N35">
        <v>1760</v>
      </c>
      <c r="O35" s="1">
        <f t="shared" ca="1" si="0"/>
        <v>16.506545009679527</v>
      </c>
      <c r="P35" s="21">
        <f t="shared" ca="1" si="1"/>
        <v>499.52452514454319</v>
      </c>
      <c r="Q35">
        <v>73</v>
      </c>
      <c r="R35">
        <v>88</v>
      </c>
      <c r="S35">
        <v>11.173347601039621</v>
      </c>
      <c r="T35" s="21">
        <v>240.32215676122573</v>
      </c>
    </row>
    <row r="36" spans="14:20" x14ac:dyDescent="0.25">
      <c r="N36">
        <v>1752</v>
      </c>
      <c r="O36" s="1">
        <f t="shared" ca="1" si="0"/>
        <v>16.46602625069179</v>
      </c>
      <c r="P36" s="21">
        <f t="shared" ca="1" si="1"/>
        <v>499.82010390465996</v>
      </c>
      <c r="Q36">
        <v>75</v>
      </c>
      <c r="R36">
        <v>90</v>
      </c>
      <c r="S36">
        <v>11.021236116476844</v>
      </c>
      <c r="T36" s="21">
        <v>246.64733279055292</v>
      </c>
    </row>
    <row r="37" spans="14:20" x14ac:dyDescent="0.25">
      <c r="N37">
        <v>1744</v>
      </c>
      <c r="O37" s="1">
        <f t="shared" ca="1" si="0"/>
        <v>16.497227590086457</v>
      </c>
      <c r="P37" s="21">
        <f t="shared" ca="1" si="1"/>
        <v>500.2695930081133</v>
      </c>
      <c r="Q37">
        <v>73</v>
      </c>
      <c r="R37">
        <v>88</v>
      </c>
      <c r="S37">
        <v>11.128123195805442</v>
      </c>
      <c r="T37" s="21">
        <v>240.32304220617976</v>
      </c>
    </row>
    <row r="38" spans="14:20" x14ac:dyDescent="0.25">
      <c r="N38">
        <v>1736</v>
      </c>
      <c r="O38" s="1">
        <f t="shared" ca="1" si="0"/>
        <v>16.502506003874412</v>
      </c>
      <c r="P38" s="21">
        <f t="shared" ca="1" si="1"/>
        <v>500.01020046691639</v>
      </c>
      <c r="Q38">
        <v>71</v>
      </c>
      <c r="R38">
        <v>86</v>
      </c>
      <c r="S38">
        <v>11.243362002828853</v>
      </c>
      <c r="T38" s="21">
        <v>233.99784287232137</v>
      </c>
    </row>
    <row r="39" spans="14:20" x14ac:dyDescent="0.25">
      <c r="N39">
        <v>1728</v>
      </c>
      <c r="O39" s="1">
        <f t="shared" ca="1" si="0"/>
        <v>16.469453029667019</v>
      </c>
      <c r="P39" s="21">
        <f t="shared" ca="1" si="1"/>
        <v>500.1730828146288</v>
      </c>
      <c r="Q39">
        <v>73</v>
      </c>
      <c r="R39">
        <v>88</v>
      </c>
      <c r="S39">
        <v>11.149600723082189</v>
      </c>
      <c r="T39" s="21">
        <v>240.32402104264568</v>
      </c>
    </row>
    <row r="40" spans="14:20" x14ac:dyDescent="0.25">
      <c r="N40">
        <v>1720</v>
      </c>
      <c r="O40" s="1">
        <f t="shared" ca="1" si="0"/>
        <v>16.482426686206662</v>
      </c>
      <c r="P40" s="21">
        <f t="shared" ca="1" si="1"/>
        <v>500.13829612038148</v>
      </c>
      <c r="Q40">
        <v>75</v>
      </c>
      <c r="R40">
        <v>90</v>
      </c>
      <c r="S40">
        <v>11.029601199664981</v>
      </c>
      <c r="T40" s="21">
        <v>246.64924613905978</v>
      </c>
    </row>
    <row r="41" spans="14:20" x14ac:dyDescent="0.25">
      <c r="N41">
        <v>1712</v>
      </c>
      <c r="O41" s="1">
        <f t="shared" ca="1" si="0"/>
        <v>16.519213715856491</v>
      </c>
      <c r="P41" s="21">
        <f t="shared" ca="1" si="1"/>
        <v>499.86667675375668</v>
      </c>
      <c r="Q41">
        <v>73</v>
      </c>
      <c r="R41">
        <v>88</v>
      </c>
      <c r="S41">
        <v>11.141040236362359</v>
      </c>
      <c r="T41" s="21">
        <v>240.32490649446851</v>
      </c>
    </row>
    <row r="42" spans="14:20" x14ac:dyDescent="0.25">
      <c r="N42">
        <v>1704</v>
      </c>
      <c r="O42" s="1">
        <f t="shared" ca="1" si="0"/>
        <v>16.453852963676976</v>
      </c>
      <c r="P42" s="21">
        <f t="shared" ca="1" si="1"/>
        <v>500.14274231231059</v>
      </c>
      <c r="Q42">
        <v>71</v>
      </c>
      <c r="R42">
        <v>86</v>
      </c>
      <c r="S42">
        <v>11.264497879224141</v>
      </c>
      <c r="T42" s="21">
        <v>233.99965809334245</v>
      </c>
    </row>
    <row r="43" spans="14:20" x14ac:dyDescent="0.25">
      <c r="N43">
        <v>1696</v>
      </c>
      <c r="O43" s="1">
        <f t="shared" ca="1" si="0"/>
        <v>16.452693293081722</v>
      </c>
      <c r="P43" s="21">
        <f t="shared" ca="1" si="1"/>
        <v>499.78056288709735</v>
      </c>
      <c r="Q43">
        <v>73</v>
      </c>
      <c r="R43">
        <v>88</v>
      </c>
      <c r="S43">
        <v>11.176241059658764</v>
      </c>
      <c r="T43" s="21">
        <v>240.32588533852768</v>
      </c>
    </row>
    <row r="44" spans="14:20" x14ac:dyDescent="0.25">
      <c r="N44">
        <v>1688</v>
      </c>
      <c r="O44" s="1">
        <f t="shared" ca="1" si="0"/>
        <v>16.510735569038896</v>
      </c>
      <c r="P44" s="21">
        <f t="shared" ca="1" si="1"/>
        <v>500.06262697424592</v>
      </c>
      <c r="Q44">
        <v>75</v>
      </c>
      <c r="R44">
        <v>90</v>
      </c>
      <c r="S44">
        <v>11.054133425618817</v>
      </c>
      <c r="T44" s="21">
        <v>246.65115950240931</v>
      </c>
    </row>
    <row r="45" spans="14:20" x14ac:dyDescent="0.25">
      <c r="N45">
        <v>1680</v>
      </c>
      <c r="O45" s="1">
        <f t="shared" ca="1" si="0"/>
        <v>16.488347162468454</v>
      </c>
      <c r="P45" s="21">
        <f t="shared" ca="1" si="1"/>
        <v>499.51320705387951</v>
      </c>
      <c r="Q45">
        <v>73</v>
      </c>
      <c r="R45">
        <v>88</v>
      </c>
      <c r="S45">
        <v>11.167044765961286</v>
      </c>
      <c r="T45" s="21">
        <v>240.32677079721933</v>
      </c>
    </row>
    <row r="46" spans="14:20" x14ac:dyDescent="0.25">
      <c r="N46">
        <v>1672</v>
      </c>
      <c r="O46" s="1">
        <f t="shared" ca="1" si="0"/>
        <v>16.509463966369804</v>
      </c>
      <c r="P46" s="21">
        <f t="shared" ca="1" si="1"/>
        <v>500.21917862691015</v>
      </c>
      <c r="Q46">
        <v>75</v>
      </c>
      <c r="R46">
        <v>90</v>
      </c>
      <c r="S46">
        <v>11.059456577528936</v>
      </c>
      <c r="T46" s="21">
        <v>246.65206826599371</v>
      </c>
    </row>
    <row r="47" spans="14:20" x14ac:dyDescent="0.25">
      <c r="N47">
        <v>1664</v>
      </c>
      <c r="O47" s="1">
        <f t="shared" ca="1" si="0"/>
        <v>16.511282895479322</v>
      </c>
      <c r="P47" s="21">
        <f t="shared" ca="1" si="1"/>
        <v>500.2782659958695</v>
      </c>
      <c r="Q47">
        <v>73</v>
      </c>
      <c r="R47">
        <v>88</v>
      </c>
      <c r="S47">
        <v>11.135458215684077</v>
      </c>
      <c r="T47" s="21">
        <v>240.32765625917335</v>
      </c>
    </row>
    <row r="48" spans="14:20" x14ac:dyDescent="0.25">
      <c r="N48">
        <v>1656</v>
      </c>
      <c r="O48" s="1">
        <f t="shared" ca="1" si="0"/>
        <v>16.501988157350318</v>
      </c>
      <c r="P48" s="21">
        <f t="shared" ca="1" si="1"/>
        <v>500.03525104588903</v>
      </c>
      <c r="Q48">
        <v>71</v>
      </c>
      <c r="R48">
        <v>86</v>
      </c>
      <c r="S48">
        <v>11.271391845410152</v>
      </c>
      <c r="T48" s="21">
        <v>234.00233548542033</v>
      </c>
    </row>
    <row r="49" spans="14:20" x14ac:dyDescent="0.25">
      <c r="N49">
        <v>1648</v>
      </c>
      <c r="O49" s="1">
        <f t="shared" ca="1" si="0"/>
        <v>16.465252292887381</v>
      </c>
      <c r="P49" s="21">
        <f t="shared" ca="1" si="1"/>
        <v>500.28461648800106</v>
      </c>
      <c r="Q49">
        <v>73</v>
      </c>
      <c r="R49">
        <v>88</v>
      </c>
      <c r="S49">
        <v>11.123614265056368</v>
      </c>
      <c r="T49" s="21">
        <v>240.3286351144323</v>
      </c>
    </row>
    <row r="50" spans="14:20" x14ac:dyDescent="0.25">
      <c r="N50">
        <v>1640</v>
      </c>
      <c r="O50" s="1">
        <f t="shared" ca="1" si="0"/>
        <v>16.511969107075334</v>
      </c>
      <c r="P50" s="21">
        <f t="shared" ca="1" si="1"/>
        <v>500.21159573383619</v>
      </c>
      <c r="Q50">
        <v>71</v>
      </c>
      <c r="R50">
        <v>86</v>
      </c>
      <c r="S50">
        <v>11.222609957674582</v>
      </c>
      <c r="T50" s="21">
        <v>234.00328857762895</v>
      </c>
    </row>
    <row r="51" spans="14:20" x14ac:dyDescent="0.25">
      <c r="N51">
        <v>1632</v>
      </c>
      <c r="O51" s="1">
        <f t="shared" ca="1" si="0"/>
        <v>16.512943324664835</v>
      </c>
      <c r="P51" s="21">
        <f t="shared" ca="1" si="1"/>
        <v>499.94678170005335</v>
      </c>
      <c r="Q51">
        <v>73</v>
      </c>
      <c r="R51">
        <v>88</v>
      </c>
      <c r="S51">
        <v>11.169746655420758</v>
      </c>
      <c r="T51" s="21">
        <v>240.32961397367814</v>
      </c>
    </row>
    <row r="52" spans="14:20" x14ac:dyDescent="0.25">
      <c r="N52">
        <v>1624</v>
      </c>
      <c r="O52" s="1">
        <f t="shared" ca="1" si="0"/>
        <v>16.452460451178091</v>
      </c>
      <c r="P52" s="21">
        <f t="shared" ca="1" si="1"/>
        <v>499.9970392870643</v>
      </c>
      <c r="Q52">
        <v>75</v>
      </c>
      <c r="R52">
        <v>90</v>
      </c>
      <c r="S52">
        <v>11.038652716183735</v>
      </c>
      <c r="T52" s="21">
        <v>246.65498627363675</v>
      </c>
    </row>
    <row r="53" spans="14:20" x14ac:dyDescent="0.25">
      <c r="N53">
        <v>1616</v>
      </c>
      <c r="O53" s="1">
        <f t="shared" ca="1" si="0"/>
        <v>16.455352708531059</v>
      </c>
      <c r="P53" s="21">
        <f t="shared" ca="1" si="1"/>
        <v>500.13808668115882</v>
      </c>
      <c r="Q53">
        <v>73</v>
      </c>
      <c r="R53">
        <v>88</v>
      </c>
      <c r="S53">
        <v>11.130315176853607</v>
      </c>
      <c r="T53" s="21">
        <v>240.33049944610761</v>
      </c>
    </row>
    <row r="54" spans="14:20" x14ac:dyDescent="0.25">
      <c r="N54">
        <v>1608</v>
      </c>
      <c r="O54" s="1">
        <f t="shared" ca="1" si="0"/>
        <v>16.46554962058282</v>
      </c>
      <c r="P54" s="21">
        <f t="shared" ca="1" si="1"/>
        <v>500.18104879931224</v>
      </c>
      <c r="Q54">
        <v>71</v>
      </c>
      <c r="R54">
        <v>86</v>
      </c>
      <c r="S54">
        <v>11.272164297176914</v>
      </c>
      <c r="T54" s="21">
        <v>234.00510384089466</v>
      </c>
    </row>
    <row r="55" spans="14:20" x14ac:dyDescent="0.25">
      <c r="N55">
        <v>1600</v>
      </c>
      <c r="O55" s="1">
        <f t="shared" ca="1" si="0"/>
        <v>16.452476886329805</v>
      </c>
      <c r="P55" s="21">
        <f t="shared" ca="1" si="1"/>
        <v>500.0096677638615</v>
      </c>
      <c r="Q55">
        <v>73</v>
      </c>
      <c r="R55">
        <v>88</v>
      </c>
      <c r="S55">
        <v>11.156474297425728</v>
      </c>
      <c r="T55" s="21">
        <v>240.33147831294687</v>
      </c>
    </row>
    <row r="56" spans="14:20" x14ac:dyDescent="0.25">
      <c r="N56">
        <v>1592</v>
      </c>
      <c r="O56" s="1">
        <f t="shared" ca="1" si="0"/>
        <v>16.482943311463</v>
      </c>
      <c r="P56" s="21">
        <f t="shared" ca="1" si="1"/>
        <v>500.2159337260498</v>
      </c>
      <c r="Q56">
        <v>75</v>
      </c>
      <c r="R56">
        <v>90</v>
      </c>
      <c r="S56">
        <v>11.070897755243243</v>
      </c>
      <c r="T56" s="21">
        <v>246.65689968151494</v>
      </c>
    </row>
    <row r="57" spans="14:20" x14ac:dyDescent="0.25">
      <c r="N57">
        <v>1584</v>
      </c>
      <c r="O57" s="1">
        <f t="shared" ca="1" si="0"/>
        <v>16.461056754937424</v>
      </c>
      <c r="P57" s="21">
        <f t="shared" ca="1" si="1"/>
        <v>500.14697139598786</v>
      </c>
      <c r="Q57">
        <v>73</v>
      </c>
      <c r="R57">
        <v>88</v>
      </c>
      <c r="S57">
        <v>11.171886509165658</v>
      </c>
      <c r="T57" s="21">
        <v>240.33236379224533</v>
      </c>
    </row>
    <row r="58" spans="14:20" x14ac:dyDescent="0.25">
      <c r="N58">
        <v>1576</v>
      </c>
      <c r="O58" s="1">
        <f t="shared" ca="1" si="0"/>
        <v>16.535910229255855</v>
      </c>
      <c r="P58" s="21">
        <f t="shared" ca="1" si="1"/>
        <v>499.76506327893014</v>
      </c>
      <c r="Q58">
        <v>75</v>
      </c>
      <c r="R58">
        <v>90</v>
      </c>
      <c r="S58">
        <v>11.062920872193128</v>
      </c>
      <c r="T58" s="21">
        <v>246.65780846624853</v>
      </c>
    </row>
    <row r="59" spans="14:20" x14ac:dyDescent="0.25">
      <c r="N59">
        <v>1568</v>
      </c>
      <c r="O59" s="1">
        <f t="shared" ca="1" si="0"/>
        <v>16.527290272913412</v>
      </c>
      <c r="P59" s="21">
        <f t="shared" ca="1" si="1"/>
        <v>500.32070128836864</v>
      </c>
      <c r="Q59">
        <v>73</v>
      </c>
      <c r="R59">
        <v>88</v>
      </c>
      <c r="S59">
        <v>11.117325883441495</v>
      </c>
      <c r="T59" s="21">
        <v>240.33324927480626</v>
      </c>
    </row>
    <row r="60" spans="14:20" x14ac:dyDescent="0.25">
      <c r="N60">
        <v>1560</v>
      </c>
      <c r="O60" s="1">
        <f t="shared" ca="1" si="0"/>
        <v>16.466652452940245</v>
      </c>
      <c r="P60" s="21">
        <f t="shared" ca="1" si="1"/>
        <v>499.85290549763198</v>
      </c>
      <c r="Q60">
        <v>71</v>
      </c>
      <c r="R60">
        <v>86</v>
      </c>
      <c r="S60">
        <v>11.272253541169201</v>
      </c>
      <c r="T60" s="21">
        <v>234.00778129528209</v>
      </c>
    </row>
    <row r="61" spans="14:20" x14ac:dyDescent="0.25">
      <c r="N61">
        <v>1552</v>
      </c>
      <c r="O61" s="1">
        <f t="shared" ca="1" si="0"/>
        <v>16.489066964667586</v>
      </c>
      <c r="P61" s="21">
        <f t="shared" ca="1" si="1"/>
        <v>500.39434703891993</v>
      </c>
      <c r="Q61">
        <v>73</v>
      </c>
      <c r="R61">
        <v>88</v>
      </c>
      <c r="S61">
        <v>11.124704062482934</v>
      </c>
      <c r="T61" s="21">
        <v>240.33422815284561</v>
      </c>
    </row>
    <row r="62" spans="14:20" x14ac:dyDescent="0.25">
      <c r="N62">
        <v>1544</v>
      </c>
      <c r="O62" s="1">
        <f t="shared" ca="1" si="0"/>
        <v>16.507492903060687</v>
      </c>
      <c r="P62" s="21">
        <f t="shared" ca="1" si="1"/>
        <v>500.13179660549662</v>
      </c>
      <c r="Q62">
        <v>71</v>
      </c>
      <c r="R62">
        <v>86</v>
      </c>
      <c r="S62">
        <v>11.214288465899257</v>
      </c>
      <c r="T62" s="21">
        <v>234.00873440967155</v>
      </c>
    </row>
    <row r="63" spans="14:20" x14ac:dyDescent="0.25">
      <c r="N63">
        <v>1536</v>
      </c>
      <c r="O63" s="1">
        <f t="shared" ca="1" si="0"/>
        <v>16.50919448026746</v>
      </c>
      <c r="P63" s="21">
        <f t="shared" ca="1" si="1"/>
        <v>499.51768266527017</v>
      </c>
      <c r="Q63">
        <v>73</v>
      </c>
      <c r="R63">
        <v>88</v>
      </c>
      <c r="S63">
        <v>11.176695444552101</v>
      </c>
      <c r="T63" s="21">
        <v>240.33520703487193</v>
      </c>
    </row>
    <row r="64" spans="14:20" x14ac:dyDescent="0.25">
      <c r="N64">
        <v>1528</v>
      </c>
      <c r="O64" s="1">
        <f t="shared" ca="1" si="0"/>
        <v>16.481078677439459</v>
      </c>
      <c r="P64" s="21">
        <f t="shared" ca="1" si="1"/>
        <v>499.59949401796598</v>
      </c>
      <c r="Q64">
        <v>75</v>
      </c>
      <c r="R64">
        <v>90</v>
      </c>
      <c r="S64">
        <v>11.066306353051212</v>
      </c>
      <c r="T64" s="21">
        <v>246.66072654180084</v>
      </c>
    </row>
    <row r="65" spans="14:20" x14ac:dyDescent="0.25">
      <c r="N65">
        <v>1520</v>
      </c>
      <c r="O65" s="1">
        <f t="shared" ca="1" si="0"/>
        <v>16.516947320804224</v>
      </c>
      <c r="P65" s="21">
        <f t="shared" ca="1" si="1"/>
        <v>499.57411174621552</v>
      </c>
      <c r="Q65">
        <v>73</v>
      </c>
      <c r="R65">
        <v>88</v>
      </c>
      <c r="S65">
        <v>11.14303907718682</v>
      </c>
      <c r="T65" s="21">
        <v>240.33609252790851</v>
      </c>
    </row>
    <row r="66" spans="14:20" x14ac:dyDescent="0.25">
      <c r="N66">
        <v>1512</v>
      </c>
      <c r="O66" s="1">
        <f t="shared" ca="1" si="0"/>
        <v>16.452225154360672</v>
      </c>
      <c r="P66" s="21">
        <f t="shared" ca="1" si="1"/>
        <v>500.1279048243768</v>
      </c>
      <c r="Q66">
        <v>71</v>
      </c>
      <c r="R66">
        <v>86</v>
      </c>
      <c r="S66">
        <v>11.253258549517447</v>
      </c>
      <c r="T66" s="21">
        <v>234.01054971518289</v>
      </c>
    </row>
    <row r="67" spans="14:20" x14ac:dyDescent="0.25">
      <c r="N67">
        <v>1504</v>
      </c>
      <c r="O67" s="1">
        <f t="shared" ca="1" si="0"/>
        <v>16.51868555513791</v>
      </c>
      <c r="P67" s="21">
        <f t="shared" ca="1" si="1"/>
        <v>499.71585636628208</v>
      </c>
      <c r="Q67">
        <v>73</v>
      </c>
      <c r="R67">
        <v>88</v>
      </c>
      <c r="S67">
        <v>11.171466221941596</v>
      </c>
      <c r="T67" s="21">
        <v>240.33707141752842</v>
      </c>
    </row>
    <row r="68" spans="14:20" x14ac:dyDescent="0.25">
      <c r="N68">
        <v>1496</v>
      </c>
      <c r="O68" s="1">
        <f t="shared" ca="1" si="0"/>
        <v>16.503533773654812</v>
      </c>
      <c r="P68" s="21">
        <f t="shared" ca="1" si="1"/>
        <v>499.62202218931532</v>
      </c>
      <c r="Q68">
        <v>75</v>
      </c>
      <c r="R68">
        <v>90</v>
      </c>
      <c r="S68">
        <v>11.050443890329136</v>
      </c>
      <c r="T68" s="21">
        <v>246.66263999420872</v>
      </c>
    </row>
    <row r="69" spans="14:20" x14ac:dyDescent="0.25">
      <c r="N69">
        <v>1488</v>
      </c>
      <c r="O69" s="1">
        <f t="shared" ca="1" si="0"/>
        <v>16.533093807089138</v>
      </c>
      <c r="P69" s="21">
        <f t="shared" ca="1" si="1"/>
        <v>500.39143920747301</v>
      </c>
      <c r="Q69">
        <v>73</v>
      </c>
      <c r="R69">
        <v>88</v>
      </c>
      <c r="S69">
        <v>11.120637142218992</v>
      </c>
      <c r="T69" s="21">
        <v>240.33795691743413</v>
      </c>
    </row>
    <row r="70" spans="14:20" x14ac:dyDescent="0.25">
      <c r="N70">
        <v>1480</v>
      </c>
      <c r="O70" s="1">
        <f t="shared" ref="O70:O133" ca="1" si="2">$C$9+(RAND()-0.5)*$C$6</f>
        <v>16.539714556496573</v>
      </c>
      <c r="P70" s="21">
        <f t="shared" ref="P70:P133" ca="1" si="3">$G$26+(RAND()-0.5)*$G$23</f>
        <v>500.15481803002922</v>
      </c>
      <c r="Q70">
        <v>71</v>
      </c>
      <c r="R70">
        <v>86</v>
      </c>
      <c r="S70">
        <v>11.223515460061593</v>
      </c>
      <c r="T70" s="21">
        <v>234.01236503477631</v>
      </c>
    </row>
    <row r="71" spans="14:20" x14ac:dyDescent="0.25">
      <c r="N71">
        <v>1472</v>
      </c>
      <c r="O71" s="1">
        <f t="shared" ca="1" si="2"/>
        <v>16.460176006315731</v>
      </c>
      <c r="P71" s="21">
        <f t="shared" ca="1" si="3"/>
        <v>499.83961785067061</v>
      </c>
      <c r="Q71">
        <v>73</v>
      </c>
      <c r="R71">
        <v>88</v>
      </c>
      <c r="S71">
        <v>11.166458150799844</v>
      </c>
      <c r="T71" s="21">
        <v>240.3389358146477</v>
      </c>
    </row>
    <row r="72" spans="14:20" x14ac:dyDescent="0.25">
      <c r="N72">
        <v>1464</v>
      </c>
      <c r="O72" s="1">
        <f t="shared" ca="1" si="2"/>
        <v>16.482853131655894</v>
      </c>
      <c r="P72" s="21">
        <f t="shared" ca="1" si="3"/>
        <v>499.91713769776698</v>
      </c>
      <c r="Q72">
        <v>75</v>
      </c>
      <c r="R72">
        <v>90</v>
      </c>
      <c r="S72">
        <v>11.051479940074938</v>
      </c>
      <c r="T72" s="21">
        <v>246.66455346146006</v>
      </c>
    </row>
    <row r="73" spans="14:20" x14ac:dyDescent="0.25">
      <c r="N73">
        <v>1456</v>
      </c>
      <c r="O73" s="1">
        <f t="shared" ca="1" si="2"/>
        <v>16.486196401633332</v>
      </c>
      <c r="P73" s="21">
        <f t="shared" ca="1" si="3"/>
        <v>500.47266182307959</v>
      </c>
      <c r="Q73">
        <v>73</v>
      </c>
      <c r="R73">
        <v>88</v>
      </c>
      <c r="S73">
        <v>11.110928801666409</v>
      </c>
      <c r="T73" s="21">
        <v>240.33982132142262</v>
      </c>
    </row>
    <row r="74" spans="14:20" x14ac:dyDescent="0.25">
      <c r="N74">
        <v>1448</v>
      </c>
      <c r="O74" s="1">
        <f t="shared" ca="1" si="2"/>
        <v>16.542989466665471</v>
      </c>
      <c r="P74" s="21">
        <f t="shared" ca="1" si="3"/>
        <v>499.56872518740334</v>
      </c>
      <c r="Q74">
        <v>71</v>
      </c>
      <c r="R74">
        <v>86</v>
      </c>
      <c r="S74">
        <v>11.227322819620893</v>
      </c>
      <c r="T74" s="21">
        <v>234.01418036845197</v>
      </c>
    </row>
    <row r="75" spans="14:20" x14ac:dyDescent="0.25">
      <c r="N75">
        <v>1440</v>
      </c>
      <c r="O75" s="1">
        <f t="shared" ca="1" si="2"/>
        <v>16.536502279797183</v>
      </c>
      <c r="P75" s="21">
        <f t="shared" ca="1" si="3"/>
        <v>500.41431690113478</v>
      </c>
      <c r="Q75">
        <v>73</v>
      </c>
      <c r="R75">
        <v>88</v>
      </c>
      <c r="S75">
        <v>11.131311212166866</v>
      </c>
      <c r="T75" s="21">
        <v>240.34080022622993</v>
      </c>
    </row>
    <row r="76" spans="14:20" x14ac:dyDescent="0.25">
      <c r="N76">
        <v>1432</v>
      </c>
      <c r="O76" s="1">
        <f t="shared" ca="1" si="2"/>
        <v>16.521080838470574</v>
      </c>
      <c r="P76" s="21">
        <f t="shared" ca="1" si="3"/>
        <v>499.82793653714782</v>
      </c>
      <c r="Q76">
        <v>71</v>
      </c>
      <c r="R76">
        <v>86</v>
      </c>
      <c r="S76">
        <v>11.258656438570171</v>
      </c>
      <c r="T76" s="21">
        <v>234.01513350890485</v>
      </c>
    </row>
    <row r="77" spans="14:20" x14ac:dyDescent="0.25">
      <c r="N77">
        <v>1424</v>
      </c>
      <c r="O77" s="1">
        <f t="shared" ca="1" si="2"/>
        <v>16.503909855061014</v>
      </c>
      <c r="P77" s="21">
        <f t="shared" ca="1" si="3"/>
        <v>499.89291600388219</v>
      </c>
      <c r="Q77">
        <v>73</v>
      </c>
      <c r="R77">
        <v>88</v>
      </c>
      <c r="S77">
        <v>11.163103706748657</v>
      </c>
      <c r="T77" s="21">
        <v>240.34177913502432</v>
      </c>
    </row>
    <row r="78" spans="14:20" x14ac:dyDescent="0.25">
      <c r="N78">
        <v>1416</v>
      </c>
      <c r="O78" s="1">
        <f t="shared" ca="1" si="2"/>
        <v>16.504339776973115</v>
      </c>
      <c r="P78" s="21">
        <f t="shared" ca="1" si="3"/>
        <v>499.7861040519461</v>
      </c>
      <c r="Q78">
        <v>75</v>
      </c>
      <c r="R78">
        <v>90</v>
      </c>
      <c r="S78">
        <v>11.052722314564873</v>
      </c>
      <c r="T78" s="21">
        <v>246.66747161680877</v>
      </c>
    </row>
    <row r="79" spans="14:20" x14ac:dyDescent="0.25">
      <c r="N79">
        <v>1408</v>
      </c>
      <c r="O79" s="1">
        <f t="shared" ca="1" si="2"/>
        <v>16.538689613427856</v>
      </c>
      <c r="P79" s="21">
        <f t="shared" ca="1" si="3"/>
        <v>500.34235063650476</v>
      </c>
      <c r="Q79">
        <v>73</v>
      </c>
      <c r="R79">
        <v>88</v>
      </c>
      <c r="S79">
        <v>11.153921989438555</v>
      </c>
      <c r="T79" s="21">
        <v>240.3426646522752</v>
      </c>
    </row>
    <row r="80" spans="14:20" x14ac:dyDescent="0.25">
      <c r="N80">
        <v>1400</v>
      </c>
      <c r="O80" s="1">
        <f t="shared" ca="1" si="2"/>
        <v>16.542460856513493</v>
      </c>
      <c r="P80" s="21">
        <f t="shared" ca="1" si="3"/>
        <v>499.82048712158826</v>
      </c>
      <c r="Q80">
        <v>71</v>
      </c>
      <c r="R80">
        <v>86</v>
      </c>
      <c r="S80">
        <v>11.27413454840115</v>
      </c>
      <c r="T80" s="21">
        <v>234.01694886405676</v>
      </c>
    </row>
    <row r="81" spans="14:20" x14ac:dyDescent="0.25">
      <c r="N81">
        <v>1392</v>
      </c>
      <c r="O81" s="1">
        <f t="shared" ca="1" si="2"/>
        <v>16.469097568618349</v>
      </c>
      <c r="P81" s="21">
        <f t="shared" ca="1" si="3"/>
        <v>499.56835818337555</v>
      </c>
      <c r="Q81">
        <v>73</v>
      </c>
      <c r="R81">
        <v>88</v>
      </c>
      <c r="S81">
        <v>11.14991446620003</v>
      </c>
      <c r="T81" s="21">
        <v>240.34364356866342</v>
      </c>
    </row>
    <row r="82" spans="14:20" x14ac:dyDescent="0.25">
      <c r="N82">
        <v>1384</v>
      </c>
      <c r="O82" s="1">
        <f t="shared" ca="1" si="2"/>
        <v>16.477910224934785</v>
      </c>
      <c r="P82" s="21">
        <f t="shared" ca="1" si="3"/>
        <v>499.52669975638412</v>
      </c>
      <c r="Q82">
        <v>75</v>
      </c>
      <c r="R82">
        <v>90</v>
      </c>
      <c r="S82">
        <v>11.0606224756653</v>
      </c>
      <c r="T82" s="21">
        <v>246.6693851215411</v>
      </c>
    </row>
    <row r="83" spans="14:20" x14ac:dyDescent="0.25">
      <c r="N83">
        <v>1376</v>
      </c>
      <c r="O83" s="1">
        <f t="shared" ca="1" si="2"/>
        <v>16.534325341955352</v>
      </c>
      <c r="P83" s="21">
        <f t="shared" ca="1" si="3"/>
        <v>500.44476245818407</v>
      </c>
      <c r="Q83">
        <v>73</v>
      </c>
      <c r="R83">
        <v>88</v>
      </c>
      <c r="S83">
        <v>11.111890771507317</v>
      </c>
      <c r="T83" s="21">
        <v>240.34452909278363</v>
      </c>
    </row>
    <row r="84" spans="14:20" x14ac:dyDescent="0.25">
      <c r="N84">
        <v>1368</v>
      </c>
      <c r="O84" s="1">
        <f t="shared" ca="1" si="2"/>
        <v>16.512724458970915</v>
      </c>
      <c r="P84" s="21">
        <f t="shared" ca="1" si="3"/>
        <v>500.07967197701583</v>
      </c>
      <c r="Q84">
        <v>71</v>
      </c>
      <c r="R84">
        <v>86</v>
      </c>
      <c r="S84">
        <v>11.220933682822801</v>
      </c>
      <c r="T84" s="21">
        <v>234.01876423329114</v>
      </c>
    </row>
    <row r="85" spans="14:20" x14ac:dyDescent="0.25">
      <c r="N85">
        <v>1360</v>
      </c>
      <c r="O85" s="1">
        <f t="shared" ca="1" si="2"/>
        <v>16.544409315196198</v>
      </c>
      <c r="P85" s="21">
        <f t="shared" ca="1" si="3"/>
        <v>500.49724530024292</v>
      </c>
      <c r="Q85">
        <v>73</v>
      </c>
      <c r="R85">
        <v>88</v>
      </c>
      <c r="S85">
        <v>11.151149292612923</v>
      </c>
      <c r="T85" s="21">
        <v>240.34550801676571</v>
      </c>
    </row>
    <row r="86" spans="14:20" x14ac:dyDescent="0.25">
      <c r="N86">
        <v>1352</v>
      </c>
      <c r="O86" s="1">
        <f t="shared" ca="1" si="2"/>
        <v>16.516218812362158</v>
      </c>
      <c r="P86" s="21">
        <f t="shared" ca="1" si="3"/>
        <v>499.59614917632581</v>
      </c>
      <c r="Q86">
        <v>75</v>
      </c>
      <c r="R86">
        <v>90</v>
      </c>
      <c r="S86">
        <v>11.016152546856114</v>
      </c>
      <c r="T86" s="21">
        <v>246.67129864111729</v>
      </c>
    </row>
    <row r="87" spans="14:20" x14ac:dyDescent="0.25">
      <c r="N87">
        <v>1344</v>
      </c>
      <c r="O87" s="1">
        <f t="shared" ca="1" si="2"/>
        <v>16.486572689975713</v>
      </c>
      <c r="P87" s="21">
        <f t="shared" ca="1" si="3"/>
        <v>500.35194166493505</v>
      </c>
      <c r="Q87">
        <v>73</v>
      </c>
      <c r="R87">
        <v>88</v>
      </c>
      <c r="S87">
        <v>11.168776091131431</v>
      </c>
      <c r="T87" s="21">
        <v>240.3463935477553</v>
      </c>
    </row>
    <row r="88" spans="14:20" x14ac:dyDescent="0.25">
      <c r="N88">
        <v>1336</v>
      </c>
      <c r="O88" s="1">
        <f t="shared" ca="1" si="2"/>
        <v>16.487672579303752</v>
      </c>
      <c r="P88" s="21">
        <f t="shared" ca="1" si="3"/>
        <v>499.84333855284871</v>
      </c>
      <c r="Q88">
        <v>75</v>
      </c>
      <c r="R88">
        <v>90</v>
      </c>
      <c r="S88">
        <v>11.068088545538743</v>
      </c>
      <c r="T88" s="21">
        <v>246.67220747890249</v>
      </c>
    </row>
    <row r="89" spans="14:20" x14ac:dyDescent="0.25">
      <c r="N89">
        <v>1328</v>
      </c>
      <c r="O89" s="1">
        <f t="shared" ca="1" si="2"/>
        <v>16.460854490364635</v>
      </c>
      <c r="P89" s="21">
        <f t="shared" ca="1" si="3"/>
        <v>499.52860348952407</v>
      </c>
      <c r="Q89">
        <v>73</v>
      </c>
      <c r="R89">
        <v>88</v>
      </c>
      <c r="S89">
        <v>11.156494035075387</v>
      </c>
      <c r="T89" s="21">
        <v>240.34727908200756</v>
      </c>
    </row>
    <row r="90" spans="14:20" x14ac:dyDescent="0.25">
      <c r="N90">
        <v>1320</v>
      </c>
      <c r="O90" s="1">
        <f t="shared" ca="1" si="2"/>
        <v>16.477148289464793</v>
      </c>
      <c r="P90" s="21">
        <f t="shared" ca="1" si="3"/>
        <v>500.24409147533106</v>
      </c>
      <c r="Q90">
        <v>75</v>
      </c>
      <c r="R90">
        <v>90</v>
      </c>
      <c r="S90">
        <v>11.071887552146356</v>
      </c>
      <c r="T90" s="21">
        <v>246.67311632003623</v>
      </c>
    </row>
    <row r="91" spans="14:20" x14ac:dyDescent="0.25">
      <c r="N91">
        <v>1312</v>
      </c>
      <c r="O91" s="1">
        <f t="shared" ca="1" si="2"/>
        <v>16.476514260138291</v>
      </c>
      <c r="P91" s="21">
        <f t="shared" ca="1" si="3"/>
        <v>500.00652549551734</v>
      </c>
      <c r="Q91">
        <v>73</v>
      </c>
      <c r="R91">
        <v>88</v>
      </c>
      <c r="S91">
        <v>11.167035040822267</v>
      </c>
      <c r="T91" s="21">
        <v>240.34816461952246</v>
      </c>
    </row>
    <row r="92" spans="14:20" x14ac:dyDescent="0.25">
      <c r="N92">
        <v>1304</v>
      </c>
      <c r="O92" s="1">
        <f t="shared" ca="1" si="2"/>
        <v>16.463006426761343</v>
      </c>
      <c r="P92" s="21">
        <f t="shared" ca="1" si="3"/>
        <v>499.59337215259467</v>
      </c>
      <c r="Q92">
        <v>75</v>
      </c>
      <c r="R92">
        <v>90</v>
      </c>
      <c r="S92">
        <v>11.04438840529397</v>
      </c>
      <c r="T92" s="21">
        <v>246.6740251645185</v>
      </c>
    </row>
    <row r="93" spans="14:20" x14ac:dyDescent="0.25">
      <c r="N93">
        <v>1296</v>
      </c>
      <c r="O93" s="1">
        <f t="shared" ca="1" si="2"/>
        <v>16.512527744760153</v>
      </c>
      <c r="P93" s="21">
        <f t="shared" ca="1" si="3"/>
        <v>500.39719750868392</v>
      </c>
      <c r="Q93">
        <v>73</v>
      </c>
      <c r="R93">
        <v>88</v>
      </c>
      <c r="S93">
        <v>11.112972847324036</v>
      </c>
      <c r="T93" s="21">
        <v>240.34905016030007</v>
      </c>
    </row>
    <row r="94" spans="14:20" x14ac:dyDescent="0.25">
      <c r="N94">
        <v>1288</v>
      </c>
      <c r="O94" s="1">
        <f t="shared" ca="1" si="2"/>
        <v>16.523721610592137</v>
      </c>
      <c r="P94" s="21">
        <f t="shared" ca="1" si="3"/>
        <v>499.70907255747062</v>
      </c>
      <c r="Q94">
        <v>71</v>
      </c>
      <c r="R94">
        <v>86</v>
      </c>
      <c r="S94">
        <v>11.218060404060006</v>
      </c>
      <c r="T94" s="21">
        <v>234.02316630825081</v>
      </c>
    </row>
    <row r="95" spans="14:20" x14ac:dyDescent="0.25">
      <c r="N95">
        <v>1280</v>
      </c>
      <c r="O95" s="1">
        <f t="shared" ca="1" si="2"/>
        <v>16.466400077862669</v>
      </c>
      <c r="P95" s="21">
        <f t="shared" ca="1" si="3"/>
        <v>500.05330168422114</v>
      </c>
      <c r="Q95">
        <v>73</v>
      </c>
      <c r="R95">
        <v>88</v>
      </c>
      <c r="S95">
        <v>11.120172493853266</v>
      </c>
      <c r="T95" s="21">
        <v>240.35002910269645</v>
      </c>
    </row>
    <row r="96" spans="14:20" x14ac:dyDescent="0.25">
      <c r="N96">
        <v>1272</v>
      </c>
      <c r="O96" s="1">
        <f t="shared" ca="1" si="2"/>
        <v>16.454090464227566</v>
      </c>
      <c r="P96" s="21">
        <f t="shared" ca="1" si="3"/>
        <v>500.04485737760211</v>
      </c>
      <c r="Q96">
        <v>71</v>
      </c>
      <c r="R96">
        <v>86</v>
      </c>
      <c r="S96">
        <v>11.259845731624301</v>
      </c>
      <c r="T96" s="21">
        <v>234.02411948530343</v>
      </c>
    </row>
    <row r="97" spans="14:20" x14ac:dyDescent="0.25">
      <c r="N97">
        <v>1264</v>
      </c>
      <c r="O97" s="1">
        <f t="shared" ca="1" si="2"/>
        <v>16.503875799166654</v>
      </c>
      <c r="P97" s="21">
        <f t="shared" ca="1" si="3"/>
        <v>500.14137042046667</v>
      </c>
      <c r="Q97">
        <v>73</v>
      </c>
      <c r="R97">
        <v>88</v>
      </c>
      <c r="S97">
        <v>11.112593487183513</v>
      </c>
      <c r="T97" s="21">
        <v>240.35100804908006</v>
      </c>
    </row>
    <row r="98" spans="14:20" x14ac:dyDescent="0.25">
      <c r="N98">
        <v>1256</v>
      </c>
      <c r="O98" s="1">
        <f t="shared" ca="1" si="2"/>
        <v>16.536558087556028</v>
      </c>
      <c r="P98" s="21">
        <f t="shared" ca="1" si="3"/>
        <v>499.74235424149896</v>
      </c>
      <c r="Q98">
        <v>71</v>
      </c>
      <c r="R98">
        <v>86</v>
      </c>
      <c r="S98">
        <v>11.237644465064527</v>
      </c>
      <c r="T98" s="21">
        <v>234.02507266623837</v>
      </c>
    </row>
    <row r="99" spans="14:20" x14ac:dyDescent="0.25">
      <c r="N99">
        <v>1248</v>
      </c>
      <c r="O99" s="1">
        <f t="shared" ca="1" si="2"/>
        <v>16.544966088827135</v>
      </c>
      <c r="P99" s="21">
        <f t="shared" ca="1" si="3"/>
        <v>499.77908865363804</v>
      </c>
      <c r="Q99">
        <v>73</v>
      </c>
      <c r="R99">
        <v>88</v>
      </c>
      <c r="S99">
        <v>11.170021365020906</v>
      </c>
      <c r="T99" s="21">
        <v>240.35198699945096</v>
      </c>
    </row>
    <row r="100" spans="14:20" x14ac:dyDescent="0.25">
      <c r="N100">
        <v>1240</v>
      </c>
      <c r="O100" s="1">
        <f t="shared" ca="1" si="2"/>
        <v>16.487544830409242</v>
      </c>
      <c r="P100" s="21">
        <f t="shared" ca="1" si="3"/>
        <v>500.27885865370473</v>
      </c>
      <c r="Q100">
        <v>75</v>
      </c>
      <c r="R100">
        <v>90</v>
      </c>
      <c r="S100">
        <v>11.077716479157921</v>
      </c>
      <c r="T100" s="21">
        <v>246.67794814784631</v>
      </c>
    </row>
    <row r="101" spans="14:20" x14ac:dyDescent="0.25">
      <c r="N101">
        <v>1232</v>
      </c>
      <c r="O101" s="1">
        <f t="shared" ca="1" si="2"/>
        <v>16.477452946349114</v>
      </c>
      <c r="P101" s="21">
        <f t="shared" ca="1" si="3"/>
        <v>500.18775823819499</v>
      </c>
      <c r="Q101">
        <v>73</v>
      </c>
      <c r="R101">
        <v>88</v>
      </c>
      <c r="S101">
        <v>11.155168455088848</v>
      </c>
      <c r="T101" s="21">
        <v>240.35287255431177</v>
      </c>
    </row>
    <row r="102" spans="14:20" x14ac:dyDescent="0.25">
      <c r="N102">
        <v>1224</v>
      </c>
      <c r="O102" s="1">
        <f t="shared" ca="1" si="2"/>
        <v>16.458902172967502</v>
      </c>
      <c r="P102" s="21">
        <f t="shared" ca="1" si="3"/>
        <v>500.14930326496153</v>
      </c>
      <c r="Q102">
        <v>75</v>
      </c>
      <c r="R102">
        <v>90</v>
      </c>
      <c r="S102">
        <v>11.06127785597104</v>
      </c>
      <c r="T102" s="21">
        <v>246.678857010131</v>
      </c>
    </row>
    <row r="103" spans="14:20" x14ac:dyDescent="0.25">
      <c r="N103">
        <v>1216</v>
      </c>
      <c r="O103" s="1">
        <f t="shared" ca="1" si="2"/>
        <v>16.454930460366537</v>
      </c>
      <c r="P103" s="21">
        <f t="shared" ca="1" si="3"/>
        <v>500.23667075765468</v>
      </c>
      <c r="Q103">
        <v>73</v>
      </c>
      <c r="R103">
        <v>88</v>
      </c>
      <c r="S103">
        <v>11.140719526019121</v>
      </c>
      <c r="T103" s="21">
        <v>240.35375811243532</v>
      </c>
    </row>
    <row r="104" spans="14:20" x14ac:dyDescent="0.25">
      <c r="N104">
        <v>1208</v>
      </c>
      <c r="O104" s="1">
        <f t="shared" ca="1" si="2"/>
        <v>16.506690923760274</v>
      </c>
      <c r="P104" s="21">
        <f t="shared" ca="1" si="3"/>
        <v>499.98987502733985</v>
      </c>
      <c r="Q104">
        <v>71</v>
      </c>
      <c r="R104">
        <v>86</v>
      </c>
      <c r="S104">
        <v>11.235912056061274</v>
      </c>
      <c r="T104" s="21">
        <v>234.02775034910633</v>
      </c>
    </row>
    <row r="105" spans="14:20" x14ac:dyDescent="0.25">
      <c r="N105">
        <v>1200</v>
      </c>
      <c r="O105" s="1">
        <f t="shared" ca="1" si="2"/>
        <v>16.482514898925409</v>
      </c>
      <c r="P105" s="21">
        <f t="shared" ca="1" si="3"/>
        <v>500.43599092989064</v>
      </c>
      <c r="Q105">
        <v>73</v>
      </c>
      <c r="R105">
        <v>88</v>
      </c>
      <c r="S105">
        <v>11.108048281260947</v>
      </c>
      <c r="T105" s="21">
        <v>240.35473707400723</v>
      </c>
    </row>
    <row r="106" spans="14:20" x14ac:dyDescent="0.25">
      <c r="N106">
        <v>1192</v>
      </c>
      <c r="O106" s="1">
        <f t="shared" ca="1" si="2"/>
        <v>16.461645850592483</v>
      </c>
      <c r="P106" s="21">
        <f t="shared" ca="1" si="3"/>
        <v>500.3538792513811</v>
      </c>
      <c r="Q106">
        <v>71</v>
      </c>
      <c r="R106">
        <v>86</v>
      </c>
      <c r="S106">
        <v>11.264419601383132</v>
      </c>
      <c r="T106" s="21">
        <v>234.0287035448298</v>
      </c>
    </row>
    <row r="107" spans="14:20" x14ac:dyDescent="0.25">
      <c r="N107">
        <v>1184</v>
      </c>
      <c r="O107" s="1">
        <f t="shared" ca="1" si="2"/>
        <v>16.53719982557751</v>
      </c>
      <c r="P107" s="21">
        <f t="shared" ca="1" si="3"/>
        <v>500.02676765124721</v>
      </c>
      <c r="Q107">
        <v>73</v>
      </c>
      <c r="R107">
        <v>88</v>
      </c>
      <c r="S107">
        <v>11.142890207941875</v>
      </c>
      <c r="T107" s="21">
        <v>240.35571603956646</v>
      </c>
    </row>
    <row r="108" spans="14:20" x14ac:dyDescent="0.25">
      <c r="N108">
        <v>1176</v>
      </c>
      <c r="O108" s="1">
        <f t="shared" ca="1" si="2"/>
        <v>16.474762234401261</v>
      </c>
      <c r="P108" s="21">
        <f t="shared" ca="1" si="3"/>
        <v>500.34616695963524</v>
      </c>
      <c r="Q108">
        <v>71</v>
      </c>
      <c r="R108">
        <v>86</v>
      </c>
      <c r="S108">
        <v>11.271214532873131</v>
      </c>
      <c r="T108" s="21">
        <v>234.02965674443564</v>
      </c>
    </row>
    <row r="109" spans="14:20" x14ac:dyDescent="0.25">
      <c r="N109">
        <v>1168</v>
      </c>
      <c r="O109" s="1">
        <f t="shared" ca="1" si="2"/>
        <v>16.495292943381607</v>
      </c>
      <c r="P109" s="21">
        <f t="shared" ca="1" si="3"/>
        <v>499.53506959436368</v>
      </c>
      <c r="Q109">
        <v>73</v>
      </c>
      <c r="R109">
        <v>88</v>
      </c>
      <c r="S109">
        <v>11.162192634220194</v>
      </c>
      <c r="T109" s="21">
        <v>240.356695009113</v>
      </c>
    </row>
    <row r="110" spans="14:20" x14ac:dyDescent="0.25">
      <c r="N110">
        <v>1160</v>
      </c>
      <c r="O110" s="1">
        <f t="shared" ca="1" si="2"/>
        <v>16.512400330567072</v>
      </c>
      <c r="P110" s="21">
        <f t="shared" ca="1" si="3"/>
        <v>499.53106310206499</v>
      </c>
      <c r="Q110">
        <v>75</v>
      </c>
      <c r="R110">
        <v>90</v>
      </c>
      <c r="S110">
        <v>11.058148588579</v>
      </c>
      <c r="T110" s="21">
        <v>246.68278007030216</v>
      </c>
    </row>
    <row r="111" spans="14:20" x14ac:dyDescent="0.25">
      <c r="N111">
        <v>1152</v>
      </c>
      <c r="O111" s="1">
        <f t="shared" ca="1" si="2"/>
        <v>16.49042578609059</v>
      </c>
      <c r="P111" s="21">
        <f t="shared" ca="1" si="3"/>
        <v>500.2217337991388</v>
      </c>
      <c r="Q111">
        <v>73</v>
      </c>
      <c r="R111">
        <v>88</v>
      </c>
      <c r="S111">
        <v>11.116015007727942</v>
      </c>
      <c r="T111" s="21">
        <v>240.35758058132004</v>
      </c>
    </row>
    <row r="112" spans="14:20" x14ac:dyDescent="0.25">
      <c r="N112">
        <v>1144</v>
      </c>
      <c r="O112" s="1">
        <f t="shared" ca="1" si="2"/>
        <v>16.490507301491348</v>
      </c>
      <c r="P112" s="21">
        <f t="shared" ca="1" si="3"/>
        <v>499.835085300522</v>
      </c>
      <c r="Q112">
        <v>71</v>
      </c>
      <c r="R112">
        <v>86</v>
      </c>
      <c r="S112">
        <v>11.215645543984738</v>
      </c>
      <c r="T112" s="21">
        <v>234.03147221225043</v>
      </c>
    </row>
    <row r="113" spans="14:20" x14ac:dyDescent="0.25">
      <c r="N113">
        <v>1136</v>
      </c>
      <c r="O113" s="1">
        <f t="shared" ca="1" si="2"/>
        <v>16.506245522562391</v>
      </c>
      <c r="P113" s="21">
        <f t="shared" ca="1" si="3"/>
        <v>500.02982638481984</v>
      </c>
      <c r="Q113">
        <v>73</v>
      </c>
      <c r="R113">
        <v>88</v>
      </c>
      <c r="S113">
        <v>11.145145469130359</v>
      </c>
      <c r="T113" s="21">
        <v>240.35855955846085</v>
      </c>
    </row>
    <row r="114" spans="14:20" x14ac:dyDescent="0.25">
      <c r="N114">
        <v>1128</v>
      </c>
      <c r="O114" s="1">
        <f t="shared" ca="1" si="2"/>
        <v>16.455742974833058</v>
      </c>
      <c r="P114" s="21">
        <f t="shared" ca="1" si="3"/>
        <v>500.21846434877739</v>
      </c>
      <c r="Q114">
        <v>75</v>
      </c>
      <c r="R114">
        <v>90</v>
      </c>
      <c r="S114">
        <v>11.072200980195074</v>
      </c>
      <c r="T114" s="21">
        <v>246.68469369378866</v>
      </c>
    </row>
    <row r="115" spans="14:20" x14ac:dyDescent="0.25">
      <c r="N115">
        <v>1120</v>
      </c>
      <c r="O115" s="1">
        <f t="shared" ca="1" si="2"/>
        <v>16.519463173016735</v>
      </c>
      <c r="P115" s="21">
        <f t="shared" ca="1" si="3"/>
        <v>499.80712875097902</v>
      </c>
      <c r="Q115">
        <v>73</v>
      </c>
      <c r="R115">
        <v>88</v>
      </c>
      <c r="S115">
        <v>11.122127188664882</v>
      </c>
      <c r="T115" s="21">
        <v>240.35944513753768</v>
      </c>
    </row>
    <row r="116" spans="14:20" x14ac:dyDescent="0.25">
      <c r="N116">
        <v>1112</v>
      </c>
      <c r="O116" s="1">
        <f t="shared" ca="1" si="2"/>
        <v>16.522537876924321</v>
      </c>
      <c r="P116" s="21">
        <f t="shared" ca="1" si="3"/>
        <v>500.46734645217265</v>
      </c>
      <c r="Q116">
        <v>71</v>
      </c>
      <c r="R116">
        <v>86</v>
      </c>
      <c r="S116">
        <v>11.219630417478198</v>
      </c>
      <c r="T116" s="21">
        <v>234.03328769414864</v>
      </c>
    </row>
    <row r="117" spans="14:20" x14ac:dyDescent="0.25">
      <c r="N117">
        <v>1104</v>
      </c>
      <c r="O117" s="1">
        <f t="shared" ca="1" si="2"/>
        <v>16.520578675416289</v>
      </c>
      <c r="P117" s="21">
        <f t="shared" ca="1" si="3"/>
        <v>500.32179308698244</v>
      </c>
      <c r="Q117">
        <v>73</v>
      </c>
      <c r="R117">
        <v>88</v>
      </c>
      <c r="S117">
        <v>11.145006001187676</v>
      </c>
      <c r="T117" s="21">
        <v>240.36042412227286</v>
      </c>
    </row>
    <row r="118" spans="14:20" x14ac:dyDescent="0.25">
      <c r="N118">
        <v>1096</v>
      </c>
      <c r="O118" s="1">
        <f t="shared" ca="1" si="2"/>
        <v>16.525046040309054</v>
      </c>
      <c r="P118" s="21">
        <f t="shared" ca="1" si="3"/>
        <v>499.72318396676127</v>
      </c>
      <c r="Q118">
        <v>75</v>
      </c>
      <c r="R118">
        <v>90</v>
      </c>
      <c r="S118">
        <v>11.024698323759996</v>
      </c>
      <c r="T118" s="21">
        <v>246.68660733211999</v>
      </c>
    </row>
    <row r="119" spans="14:20" x14ac:dyDescent="0.25">
      <c r="N119">
        <v>1088</v>
      </c>
      <c r="O119" s="1">
        <f t="shared" ca="1" si="2"/>
        <v>16.485025665572774</v>
      </c>
      <c r="P119" s="21">
        <f t="shared" ca="1" si="3"/>
        <v>499.83362819891437</v>
      </c>
      <c r="Q119">
        <v>73</v>
      </c>
      <c r="R119">
        <v>88</v>
      </c>
      <c r="S119">
        <v>11.173402840676435</v>
      </c>
      <c r="T119" s="21">
        <v>240.36130970821947</v>
      </c>
    </row>
    <row r="120" spans="14:20" x14ac:dyDescent="0.25">
      <c r="N120">
        <v>1080</v>
      </c>
      <c r="O120" s="1">
        <f t="shared" ca="1" si="2"/>
        <v>16.496072585399716</v>
      </c>
      <c r="P120" s="21">
        <f t="shared" ca="1" si="3"/>
        <v>499.76209832219439</v>
      </c>
      <c r="Q120">
        <v>75</v>
      </c>
      <c r="R120">
        <v>90</v>
      </c>
      <c r="S120">
        <v>11.080551117403243</v>
      </c>
      <c r="T120" s="21">
        <v>246.68751622630867</v>
      </c>
    </row>
    <row r="121" spans="14:20" x14ac:dyDescent="0.25">
      <c r="N121">
        <v>1072</v>
      </c>
      <c r="O121" s="1">
        <f t="shared" ca="1" si="2"/>
        <v>16.536033869019249</v>
      </c>
      <c r="P121" s="21">
        <f t="shared" ca="1" si="3"/>
        <v>499.87066014273233</v>
      </c>
      <c r="Q121">
        <v>73</v>
      </c>
      <c r="R121">
        <v>88</v>
      </c>
      <c r="S121">
        <v>11.14836024104436</v>
      </c>
      <c r="T121" s="21">
        <v>240.36219529742897</v>
      </c>
    </row>
    <row r="122" spans="14:20" x14ac:dyDescent="0.25">
      <c r="N122">
        <v>1064</v>
      </c>
      <c r="O122" s="1">
        <f t="shared" ca="1" si="2"/>
        <v>16.483042357364848</v>
      </c>
      <c r="P122" s="21">
        <f t="shared" ca="1" si="3"/>
        <v>499.99888680180368</v>
      </c>
      <c r="Q122">
        <v>71</v>
      </c>
      <c r="R122">
        <v>86</v>
      </c>
      <c r="S122">
        <v>11.264096435397985</v>
      </c>
      <c r="T122" s="21">
        <v>234.03596547101185</v>
      </c>
    </row>
    <row r="123" spans="14:20" x14ac:dyDescent="0.25">
      <c r="N123">
        <v>1056</v>
      </c>
      <c r="O123" s="1">
        <f t="shared" ca="1" si="2"/>
        <v>16.480722959101261</v>
      </c>
      <c r="P123" s="21">
        <f t="shared" ca="1" si="3"/>
        <v>500.03491321574876</v>
      </c>
      <c r="Q123">
        <v>73</v>
      </c>
      <c r="R123">
        <v>88</v>
      </c>
      <c r="S123">
        <v>11.15471047893524</v>
      </c>
      <c r="T123" s="21">
        <v>240.36317429336555</v>
      </c>
    </row>
    <row r="124" spans="14:20" x14ac:dyDescent="0.25">
      <c r="N124">
        <v>1048</v>
      </c>
      <c r="O124" s="1">
        <f t="shared" ca="1" si="2"/>
        <v>16.451254983154918</v>
      </c>
      <c r="P124" s="21">
        <f t="shared" ca="1" si="3"/>
        <v>500.1765340271545</v>
      </c>
      <c r="Q124">
        <v>75</v>
      </c>
      <c r="R124">
        <v>90</v>
      </c>
      <c r="S124">
        <v>11.035232606599292</v>
      </c>
      <c r="T124" s="21">
        <v>246.68942988653558</v>
      </c>
    </row>
    <row r="125" spans="14:20" x14ac:dyDescent="0.25">
      <c r="N125">
        <v>1040</v>
      </c>
      <c r="O125" s="1">
        <f t="shared" ca="1" si="2"/>
        <v>16.490354078282621</v>
      </c>
      <c r="P125" s="21">
        <f t="shared" ca="1" si="3"/>
        <v>499.58480780390602</v>
      </c>
      <c r="Q125">
        <v>73</v>
      </c>
      <c r="R125">
        <v>88</v>
      </c>
      <c r="S125">
        <v>11.17222374020853</v>
      </c>
      <c r="T125" s="21">
        <v>240.36405988944492</v>
      </c>
    </row>
    <row r="126" spans="14:20" x14ac:dyDescent="0.25">
      <c r="N126">
        <v>1032</v>
      </c>
      <c r="O126" s="1">
        <f t="shared" ca="1" si="2"/>
        <v>16.528260198507677</v>
      </c>
      <c r="P126" s="21">
        <f t="shared" ca="1" si="3"/>
        <v>500.45686681669554</v>
      </c>
      <c r="Q126">
        <v>75</v>
      </c>
      <c r="R126">
        <v>90</v>
      </c>
      <c r="S126">
        <v>11.024449366711515</v>
      </c>
      <c r="T126" s="21">
        <v>246.69033879112371</v>
      </c>
    </row>
    <row r="127" spans="14:20" x14ac:dyDescent="0.25">
      <c r="N127">
        <v>1024</v>
      </c>
      <c r="O127" s="1">
        <f t="shared" ca="1" si="2"/>
        <v>16.468774275230114</v>
      </c>
      <c r="P127" s="21">
        <f t="shared" ca="1" si="3"/>
        <v>499.5385655020566</v>
      </c>
      <c r="Q127">
        <v>73</v>
      </c>
      <c r="R127">
        <v>88</v>
      </c>
      <c r="S127">
        <v>11.120909202194746</v>
      </c>
      <c r="T127" s="21">
        <v>240.36494548878719</v>
      </c>
    </row>
    <row r="128" spans="14:20" x14ac:dyDescent="0.25">
      <c r="N128">
        <v>1016</v>
      </c>
      <c r="O128" s="1">
        <f t="shared" ca="1" si="2"/>
        <v>16.46749612392739</v>
      </c>
      <c r="P128" s="21">
        <f t="shared" ca="1" si="3"/>
        <v>500.22671468182938</v>
      </c>
      <c r="Q128">
        <v>71</v>
      </c>
      <c r="R128">
        <v>86</v>
      </c>
      <c r="S128">
        <v>11.25941034490512</v>
      </c>
      <c r="T128" s="21">
        <v>234.03864327851377</v>
      </c>
    </row>
    <row r="129" spans="14:20" x14ac:dyDescent="0.25">
      <c r="N129">
        <v>1008</v>
      </c>
      <c r="O129" s="1">
        <f t="shared" ca="1" si="2"/>
        <v>16.464140675273388</v>
      </c>
      <c r="P129" s="21">
        <f t="shared" ca="1" si="3"/>
        <v>499.78857427245566</v>
      </c>
      <c r="Q129">
        <v>73</v>
      </c>
      <c r="R129">
        <v>88</v>
      </c>
      <c r="S129">
        <v>11.113146428724077</v>
      </c>
      <c r="T129" s="21">
        <v>240.3659244959253</v>
      </c>
    </row>
    <row r="130" spans="14:20" x14ac:dyDescent="0.25">
      <c r="N130">
        <v>1000</v>
      </c>
      <c r="O130" s="1">
        <f t="shared" ca="1" si="2"/>
        <v>16.514427754719026</v>
      </c>
      <c r="P130" s="21">
        <f t="shared" ca="1" si="3"/>
        <v>500.12322014991878</v>
      </c>
      <c r="Q130">
        <v>71</v>
      </c>
      <c r="R130">
        <v>86</v>
      </c>
      <c r="S130">
        <v>11.22576669608133</v>
      </c>
      <c r="T130" s="21">
        <v>234.03959651860416</v>
      </c>
    </row>
    <row r="131" spans="14:20" x14ac:dyDescent="0.25">
      <c r="N131">
        <v>992</v>
      </c>
      <c r="O131" s="1">
        <f t="shared" ca="1" si="2"/>
        <v>16.473780889787559</v>
      </c>
      <c r="P131" s="21">
        <f t="shared" ca="1" si="3"/>
        <v>499.64189177896162</v>
      </c>
      <c r="Q131">
        <v>73</v>
      </c>
      <c r="R131">
        <v>88</v>
      </c>
      <c r="S131">
        <v>11.127688589902625</v>
      </c>
      <c r="T131" s="21">
        <v>240.36690350705089</v>
      </c>
    </row>
    <row r="132" spans="14:20" x14ac:dyDescent="0.25">
      <c r="N132">
        <v>984</v>
      </c>
      <c r="O132" s="1">
        <f t="shared" ca="1" si="2"/>
        <v>16.457840403457798</v>
      </c>
      <c r="P132" s="21">
        <f t="shared" ca="1" si="3"/>
        <v>500.28133638971065</v>
      </c>
      <c r="Q132">
        <v>71</v>
      </c>
      <c r="R132">
        <v>86</v>
      </c>
      <c r="S132">
        <v>11.26890855696138</v>
      </c>
      <c r="T132" s="21">
        <v>234.04054976257709</v>
      </c>
    </row>
    <row r="133" spans="14:20" x14ac:dyDescent="0.25">
      <c r="N133">
        <v>976</v>
      </c>
      <c r="O133" s="1">
        <f t="shared" ca="1" si="2"/>
        <v>16.498415853585204</v>
      </c>
      <c r="P133" s="21">
        <f t="shared" ca="1" si="3"/>
        <v>499.58994928644756</v>
      </c>
      <c r="Q133">
        <v>73</v>
      </c>
      <c r="R133">
        <v>88</v>
      </c>
      <c r="S133">
        <v>11.174228441287504</v>
      </c>
      <c r="T133" s="21">
        <v>240.36788252216402</v>
      </c>
    </row>
    <row r="134" spans="14:20" x14ac:dyDescent="0.25">
      <c r="N134">
        <v>968</v>
      </c>
      <c r="O134" s="1">
        <f t="shared" ref="O134:O197" ca="1" si="4">$C$9+(RAND()-0.5)*$C$6</f>
        <v>16.476552982423218</v>
      </c>
      <c r="P134" s="21">
        <f t="shared" ref="P134:P197" ca="1" si="5">$G$26+(RAND()-0.5)*$G$23</f>
        <v>499.60692739449382</v>
      </c>
      <c r="Q134">
        <v>75</v>
      </c>
      <c r="R134">
        <v>90</v>
      </c>
      <c r="S134">
        <v>11.028548945716967</v>
      </c>
      <c r="T134" s="21">
        <v>246.69426203389546</v>
      </c>
    </row>
    <row r="135" spans="14:20" x14ac:dyDescent="0.25">
      <c r="N135">
        <v>960</v>
      </c>
      <c r="O135" s="1">
        <f t="shared" ca="1" si="4"/>
        <v>16.473622400622677</v>
      </c>
      <c r="P135" s="21">
        <f t="shared" ca="1" si="5"/>
        <v>499.80119934136252</v>
      </c>
      <c r="Q135">
        <v>73</v>
      </c>
      <c r="R135">
        <v>88</v>
      </c>
      <c r="S135">
        <v>11.163815695762949</v>
      </c>
      <c r="T135" s="21">
        <v>240.36876813559044</v>
      </c>
    </row>
    <row r="136" spans="14:20" x14ac:dyDescent="0.25">
      <c r="N136">
        <v>952</v>
      </c>
      <c r="O136" s="1">
        <f t="shared" ca="1" si="4"/>
        <v>16.452096546601531</v>
      </c>
      <c r="P136" s="21">
        <f t="shared" ca="1" si="5"/>
        <v>499.75954927349017</v>
      </c>
      <c r="Q136">
        <v>75</v>
      </c>
      <c r="R136">
        <v>90</v>
      </c>
      <c r="S136">
        <v>11.041877672011031</v>
      </c>
      <c r="T136" s="21">
        <v>246.69517095628717</v>
      </c>
    </row>
    <row r="137" spans="14:20" x14ac:dyDescent="0.25">
      <c r="N137">
        <v>944</v>
      </c>
      <c r="O137" s="1">
        <f t="shared" ca="1" si="4"/>
        <v>16.478306296884995</v>
      </c>
      <c r="P137" s="21">
        <f t="shared" ca="1" si="5"/>
        <v>499.73390288516629</v>
      </c>
      <c r="Q137">
        <v>73</v>
      </c>
      <c r="R137">
        <v>88</v>
      </c>
      <c r="S137">
        <v>11.133025784070066</v>
      </c>
      <c r="T137" s="21">
        <v>240.36965375227982</v>
      </c>
    </row>
    <row r="138" spans="14:20" x14ac:dyDescent="0.25">
      <c r="N138">
        <v>936</v>
      </c>
      <c r="O138" s="1">
        <f t="shared" ca="1" si="4"/>
        <v>16.541382020330595</v>
      </c>
      <c r="P138" s="21">
        <f t="shared" ca="1" si="5"/>
        <v>499.59159725242233</v>
      </c>
      <c r="Q138">
        <v>71</v>
      </c>
      <c r="R138">
        <v>86</v>
      </c>
      <c r="S138">
        <v>11.250061957155157</v>
      </c>
      <c r="T138" s="21">
        <v>234.04322762253187</v>
      </c>
    </row>
    <row r="139" spans="14:20" x14ac:dyDescent="0.25">
      <c r="N139">
        <v>928</v>
      </c>
      <c r="O139" s="1">
        <f t="shared" ca="1" si="4"/>
        <v>16.510831300485997</v>
      </c>
      <c r="P139" s="21">
        <f t="shared" ca="1" si="5"/>
        <v>500.01263028324405</v>
      </c>
      <c r="Q139">
        <v>73</v>
      </c>
      <c r="R139">
        <v>88</v>
      </c>
      <c r="S139">
        <v>11.166977146063566</v>
      </c>
      <c r="T139" s="21">
        <v>240.37063277859468</v>
      </c>
    </row>
    <row r="140" spans="14:20" x14ac:dyDescent="0.25">
      <c r="N140">
        <v>920</v>
      </c>
      <c r="O140" s="1">
        <f t="shared" ca="1" si="4"/>
        <v>16.543496259210681</v>
      </c>
      <c r="P140" s="21">
        <f t="shared" ca="1" si="5"/>
        <v>500.1176599004034</v>
      </c>
      <c r="Q140">
        <v>75</v>
      </c>
      <c r="R140">
        <v>90</v>
      </c>
      <c r="S140">
        <v>11.078394791744655</v>
      </c>
      <c r="T140" s="21">
        <v>246.69708467589507</v>
      </c>
    </row>
    <row r="141" spans="14:20" x14ac:dyDescent="0.25">
      <c r="N141">
        <v>912</v>
      </c>
      <c r="O141" s="1">
        <f t="shared" ca="1" si="4"/>
        <v>16.535051858119743</v>
      </c>
      <c r="P141" s="21">
        <f t="shared" ca="1" si="5"/>
        <v>499.502919861679</v>
      </c>
      <c r="Q141">
        <v>73</v>
      </c>
      <c r="R141">
        <v>88</v>
      </c>
      <c r="S141">
        <v>11.133651700769898</v>
      </c>
      <c r="T141" s="21">
        <v>240.37151840215415</v>
      </c>
    </row>
    <row r="142" spans="14:20" x14ac:dyDescent="0.25">
      <c r="N142">
        <v>904</v>
      </c>
      <c r="O142" s="1">
        <f t="shared" ca="1" si="4"/>
        <v>16.548401767965881</v>
      </c>
      <c r="P142" s="21">
        <f t="shared" ca="1" si="5"/>
        <v>500.1016213301873</v>
      </c>
      <c r="Q142">
        <v>71</v>
      </c>
      <c r="R142">
        <v>86</v>
      </c>
      <c r="S142">
        <v>11.257169039446532</v>
      </c>
      <c r="T142" s="21">
        <v>234.04504319562176</v>
      </c>
    </row>
    <row r="143" spans="14:20" x14ac:dyDescent="0.25">
      <c r="N143">
        <v>896</v>
      </c>
      <c r="O143" s="1">
        <f t="shared" ca="1" si="4"/>
        <v>16.485532521416037</v>
      </c>
      <c r="P143" s="21">
        <f t="shared" ca="1" si="5"/>
        <v>500.37103739073603</v>
      </c>
      <c r="Q143">
        <v>73</v>
      </c>
      <c r="R143">
        <v>88</v>
      </c>
      <c r="S143">
        <v>11.154823485893354</v>
      </c>
      <c r="T143" s="21">
        <v>240.37249743606375</v>
      </c>
    </row>
    <row r="144" spans="14:20" x14ac:dyDescent="0.25">
      <c r="N144">
        <v>888</v>
      </c>
      <c r="O144" s="1">
        <f t="shared" ca="1" si="4"/>
        <v>16.503818655595605</v>
      </c>
      <c r="P144" s="21">
        <f t="shared" ca="1" si="5"/>
        <v>499.7262045682719</v>
      </c>
      <c r="Q144">
        <v>75</v>
      </c>
      <c r="R144">
        <v>90</v>
      </c>
      <c r="S144">
        <v>11.069627259209485</v>
      </c>
      <c r="T144" s="21">
        <v>246.69899841034848</v>
      </c>
    </row>
    <row r="145" spans="14:20" x14ac:dyDescent="0.25">
      <c r="N145">
        <v>880</v>
      </c>
      <c r="O145" s="1">
        <f t="shared" ca="1" si="4"/>
        <v>16.471218825154203</v>
      </c>
      <c r="P145" s="21">
        <f t="shared" ca="1" si="5"/>
        <v>500.41376044218509</v>
      </c>
      <c r="Q145">
        <v>73</v>
      </c>
      <c r="R145">
        <v>88</v>
      </c>
      <c r="S145">
        <v>11.119731682745225</v>
      </c>
      <c r="T145" s="21">
        <v>240.37338306649337</v>
      </c>
    </row>
    <row r="146" spans="14:20" x14ac:dyDescent="0.25">
      <c r="N146">
        <v>872</v>
      </c>
      <c r="O146" s="1">
        <f t="shared" ca="1" si="4"/>
        <v>16.492699418613562</v>
      </c>
      <c r="P146" s="21">
        <f t="shared" ca="1" si="5"/>
        <v>500.21203974521558</v>
      </c>
      <c r="Q146">
        <v>71</v>
      </c>
      <c r="R146">
        <v>86</v>
      </c>
      <c r="S146">
        <v>11.241893786871218</v>
      </c>
      <c r="T146" s="21">
        <v>234.04685878279582</v>
      </c>
    </row>
    <row r="147" spans="14:20" x14ac:dyDescent="0.25">
      <c r="N147">
        <v>864</v>
      </c>
      <c r="O147" s="1">
        <f t="shared" ca="1" si="4"/>
        <v>16.478125698766771</v>
      </c>
      <c r="P147" s="21">
        <f t="shared" ca="1" si="5"/>
        <v>499.96895926946013</v>
      </c>
      <c r="Q147">
        <v>73</v>
      </c>
      <c r="R147">
        <v>88</v>
      </c>
      <c r="S147">
        <v>11.144392870116665</v>
      </c>
      <c r="T147" s="21">
        <v>240.37436210799777</v>
      </c>
    </row>
    <row r="148" spans="14:20" x14ac:dyDescent="0.25">
      <c r="N148">
        <v>856</v>
      </c>
      <c r="O148" s="1">
        <f t="shared" ca="1" si="4"/>
        <v>16.516597960899965</v>
      </c>
      <c r="P148" s="21">
        <f t="shared" ca="1" si="5"/>
        <v>499.76180148919735</v>
      </c>
      <c r="Q148">
        <v>71</v>
      </c>
      <c r="R148">
        <v>86</v>
      </c>
      <c r="S148">
        <v>11.217558994303554</v>
      </c>
      <c r="T148" s="21">
        <v>234.04781205634796</v>
      </c>
    </row>
    <row r="149" spans="14:20" x14ac:dyDescent="0.25">
      <c r="N149">
        <v>848</v>
      </c>
      <c r="O149" s="1">
        <f t="shared" ca="1" si="4"/>
        <v>16.473539889758293</v>
      </c>
      <c r="P149" s="21">
        <f t="shared" ca="1" si="5"/>
        <v>500.2720448762733</v>
      </c>
      <c r="Q149">
        <v>73</v>
      </c>
      <c r="R149">
        <v>88</v>
      </c>
      <c r="S149">
        <v>11.135349365876388</v>
      </c>
      <c r="T149" s="21">
        <v>240.37534115348979</v>
      </c>
    </row>
    <row r="150" spans="14:20" x14ac:dyDescent="0.25">
      <c r="N150">
        <v>840</v>
      </c>
      <c r="O150" s="1">
        <f t="shared" ca="1" si="4"/>
        <v>16.519727115624512</v>
      </c>
      <c r="P150" s="21">
        <f t="shared" ca="1" si="5"/>
        <v>499.53021434512942</v>
      </c>
      <c r="Q150">
        <v>71</v>
      </c>
      <c r="R150">
        <v>86</v>
      </c>
      <c r="S150">
        <v>11.215153066059232</v>
      </c>
      <c r="T150" s="21">
        <v>234.0487653337828</v>
      </c>
    </row>
    <row r="151" spans="14:20" x14ac:dyDescent="0.25">
      <c r="N151">
        <v>832</v>
      </c>
      <c r="O151" s="1">
        <f t="shared" ca="1" si="4"/>
        <v>16.457243963501043</v>
      </c>
      <c r="P151" s="21">
        <f t="shared" ca="1" si="5"/>
        <v>500.05706036878632</v>
      </c>
      <c r="Q151">
        <v>73</v>
      </c>
      <c r="R151">
        <v>88</v>
      </c>
      <c r="S151">
        <v>11.122124163040528</v>
      </c>
      <c r="T151" s="21">
        <v>240.37632020296945</v>
      </c>
    </row>
    <row r="152" spans="14:20" x14ac:dyDescent="0.25">
      <c r="N152">
        <v>824</v>
      </c>
      <c r="O152" s="1">
        <f t="shared" ca="1" si="4"/>
        <v>16.5414909479783</v>
      </c>
      <c r="P152" s="21">
        <f t="shared" ca="1" si="5"/>
        <v>500.41212078027183</v>
      </c>
      <c r="Q152">
        <v>71</v>
      </c>
      <c r="R152">
        <v>86</v>
      </c>
      <c r="S152">
        <v>11.237696605272646</v>
      </c>
      <c r="T152" s="21">
        <v>234.04971861510035</v>
      </c>
    </row>
    <row r="153" spans="14:20" x14ac:dyDescent="0.25">
      <c r="N153">
        <v>816</v>
      </c>
      <c r="O153" s="1">
        <f t="shared" ca="1" si="4"/>
        <v>16.464212169071274</v>
      </c>
      <c r="P153" s="21">
        <f t="shared" ca="1" si="5"/>
        <v>500.0037139574286</v>
      </c>
      <c r="Q153">
        <v>73</v>
      </c>
      <c r="R153">
        <v>88</v>
      </c>
      <c r="S153">
        <v>11.121772428971687</v>
      </c>
      <c r="T153" s="21">
        <v>240.37729925643683</v>
      </c>
    </row>
    <row r="154" spans="14:20" x14ac:dyDescent="0.25">
      <c r="N154">
        <v>808</v>
      </c>
      <c r="O154" s="1">
        <f t="shared" ca="1" si="4"/>
        <v>16.537574164813002</v>
      </c>
      <c r="P154" s="21">
        <f t="shared" ca="1" si="5"/>
        <v>499.97564054494438</v>
      </c>
      <c r="Q154">
        <v>71</v>
      </c>
      <c r="R154">
        <v>86</v>
      </c>
      <c r="S154">
        <v>11.229354507720158</v>
      </c>
      <c r="T154" s="21">
        <v>234.05067190030061</v>
      </c>
    </row>
    <row r="155" spans="14:20" x14ac:dyDescent="0.25">
      <c r="N155">
        <v>800</v>
      </c>
      <c r="O155" s="1">
        <f t="shared" ca="1" si="4"/>
        <v>16.482818877610562</v>
      </c>
      <c r="P155" s="21">
        <f t="shared" ca="1" si="5"/>
        <v>499.59758190145243</v>
      </c>
      <c r="Q155">
        <v>73</v>
      </c>
      <c r="R155">
        <v>88</v>
      </c>
      <c r="S155">
        <v>11.117050412488039</v>
      </c>
      <c r="T155" s="21">
        <v>240.37827831389185</v>
      </c>
    </row>
    <row r="156" spans="14:20" x14ac:dyDescent="0.25">
      <c r="N156">
        <v>792</v>
      </c>
      <c r="O156" s="1">
        <f t="shared" ca="1" si="4"/>
        <v>16.539354420355146</v>
      </c>
      <c r="P156" s="21">
        <f t="shared" ca="1" si="5"/>
        <v>500.35401440186342</v>
      </c>
      <c r="Q156">
        <v>71</v>
      </c>
      <c r="R156">
        <v>86</v>
      </c>
      <c r="S156">
        <v>11.209521693569647</v>
      </c>
      <c r="T156" s="21">
        <v>234.0516251893836</v>
      </c>
    </row>
    <row r="157" spans="14:20" x14ac:dyDescent="0.25">
      <c r="N157">
        <v>784</v>
      </c>
      <c r="O157" s="1">
        <f t="shared" ca="1" si="4"/>
        <v>16.464910064478708</v>
      </c>
      <c r="P157" s="21">
        <f t="shared" ca="1" si="5"/>
        <v>499.86892080220036</v>
      </c>
      <c r="Q157">
        <v>73</v>
      </c>
      <c r="R157">
        <v>88</v>
      </c>
      <c r="S157">
        <v>11.116402424359594</v>
      </c>
      <c r="T157" s="21">
        <v>240.37925737533459</v>
      </c>
    </row>
    <row r="158" spans="14:20" x14ac:dyDescent="0.25">
      <c r="N158">
        <v>776</v>
      </c>
      <c r="O158" s="1">
        <f t="shared" ca="1" si="4"/>
        <v>16.48564247877961</v>
      </c>
      <c r="P158" s="21">
        <f t="shared" ca="1" si="5"/>
        <v>499.9960764707015</v>
      </c>
      <c r="Q158">
        <v>71</v>
      </c>
      <c r="R158">
        <v>86</v>
      </c>
      <c r="S158">
        <v>11.222383435608819</v>
      </c>
      <c r="T158" s="21">
        <v>234.05257848234933</v>
      </c>
    </row>
    <row r="159" spans="14:20" x14ac:dyDescent="0.25">
      <c r="N159">
        <v>768</v>
      </c>
      <c r="O159" s="1">
        <f t="shared" ca="1" si="4"/>
        <v>16.498084251442172</v>
      </c>
      <c r="P159" s="21">
        <f t="shared" ca="1" si="5"/>
        <v>500.38264009172309</v>
      </c>
      <c r="Q159">
        <v>73</v>
      </c>
      <c r="R159">
        <v>88</v>
      </c>
      <c r="S159">
        <v>11.149433436213151</v>
      </c>
      <c r="T159" s="21">
        <v>240.38023644076506</v>
      </c>
    </row>
    <row r="160" spans="14:20" x14ac:dyDescent="0.25">
      <c r="N160">
        <v>760</v>
      </c>
      <c r="O160" s="1">
        <f t="shared" ca="1" si="4"/>
        <v>16.501442102781297</v>
      </c>
      <c r="P160" s="21">
        <f t="shared" ca="1" si="5"/>
        <v>500.45372632769681</v>
      </c>
      <c r="Q160">
        <v>75</v>
      </c>
      <c r="R160">
        <v>90</v>
      </c>
      <c r="S160">
        <v>11.049803568282815</v>
      </c>
      <c r="T160" s="21">
        <v>246.70694110233225</v>
      </c>
    </row>
    <row r="161" spans="14:20" x14ac:dyDescent="0.25">
      <c r="N161">
        <v>752</v>
      </c>
      <c r="O161" s="1">
        <f t="shared" ca="1" si="4"/>
        <v>16.519984172323852</v>
      </c>
      <c r="P161" s="21">
        <f t="shared" ca="1" si="5"/>
        <v>499.62019917955701</v>
      </c>
      <c r="Q161">
        <v>73</v>
      </c>
      <c r="R161">
        <v>88</v>
      </c>
      <c r="S161">
        <v>11.172478698755244</v>
      </c>
      <c r="T161" s="21">
        <v>240.38112209970834</v>
      </c>
    </row>
    <row r="162" spans="14:20" x14ac:dyDescent="0.25">
      <c r="N162">
        <v>744</v>
      </c>
      <c r="O162" s="1">
        <f t="shared" ca="1" si="4"/>
        <v>16.503613919225312</v>
      </c>
      <c r="P162" s="21">
        <f t="shared" ca="1" si="5"/>
        <v>499.94530340255318</v>
      </c>
      <c r="Q162">
        <v>75</v>
      </c>
      <c r="R162">
        <v>90</v>
      </c>
      <c r="S162">
        <v>11.045472001494833</v>
      </c>
      <c r="T162" s="21">
        <v>246.70785007143883</v>
      </c>
    </row>
    <row r="163" spans="14:20" x14ac:dyDescent="0.25">
      <c r="N163">
        <v>736</v>
      </c>
      <c r="O163" s="1">
        <f t="shared" ca="1" si="4"/>
        <v>16.495990055996057</v>
      </c>
      <c r="P163" s="21">
        <f t="shared" ca="1" si="5"/>
        <v>499.65756019903012</v>
      </c>
      <c r="Q163">
        <v>73</v>
      </c>
      <c r="R163">
        <v>88</v>
      </c>
      <c r="S163">
        <v>11.15197071945901</v>
      </c>
      <c r="T163" s="21">
        <v>240.38200776191474</v>
      </c>
    </row>
    <row r="164" spans="14:20" x14ac:dyDescent="0.25">
      <c r="N164">
        <v>728</v>
      </c>
      <c r="O164" s="1">
        <f t="shared" ca="1" si="4"/>
        <v>16.54736711369998</v>
      </c>
      <c r="P164" s="21">
        <f t="shared" ca="1" si="5"/>
        <v>500.03316945918283</v>
      </c>
      <c r="Q164">
        <v>71</v>
      </c>
      <c r="R164">
        <v>86</v>
      </c>
      <c r="S164">
        <v>11.259706395321947</v>
      </c>
      <c r="T164" s="21">
        <v>234.05525647993505</v>
      </c>
    </row>
    <row r="165" spans="14:20" x14ac:dyDescent="0.25">
      <c r="N165">
        <v>720</v>
      </c>
      <c r="O165" s="1">
        <f t="shared" ca="1" si="4"/>
        <v>16.5373937581234</v>
      </c>
      <c r="P165" s="21">
        <f t="shared" ca="1" si="5"/>
        <v>499.95174388353149</v>
      </c>
      <c r="Q165">
        <v>73</v>
      </c>
      <c r="R165">
        <v>88</v>
      </c>
      <c r="S165">
        <v>11.166204538865959</v>
      </c>
      <c r="T165" s="21">
        <v>240.38298683854754</v>
      </c>
    </row>
    <row r="166" spans="14:20" x14ac:dyDescent="0.25">
      <c r="N166">
        <v>712</v>
      </c>
      <c r="O166" s="1">
        <f t="shared" ca="1" si="4"/>
        <v>16.491334313956898</v>
      </c>
      <c r="P166" s="21">
        <f t="shared" ca="1" si="5"/>
        <v>499.77747928404835</v>
      </c>
      <c r="Q166">
        <v>75</v>
      </c>
      <c r="R166">
        <v>90</v>
      </c>
      <c r="S166">
        <v>11.031394907239527</v>
      </c>
      <c r="T166" s="21">
        <v>246.709763889404</v>
      </c>
    </row>
    <row r="167" spans="14:20" x14ac:dyDescent="0.25">
      <c r="N167">
        <v>704</v>
      </c>
      <c r="O167" s="1">
        <f t="shared" ca="1" si="4"/>
        <v>16.536127914594772</v>
      </c>
      <c r="P167" s="21">
        <f t="shared" ca="1" si="5"/>
        <v>500.44991449571177</v>
      </c>
      <c r="Q167">
        <v>73</v>
      </c>
      <c r="R167">
        <v>88</v>
      </c>
      <c r="S167">
        <v>11.147361537664811</v>
      </c>
      <c r="T167" s="21">
        <v>240.3838725076244</v>
      </c>
    </row>
    <row r="168" spans="14:20" x14ac:dyDescent="0.25">
      <c r="N168">
        <v>696</v>
      </c>
      <c r="O168" s="1">
        <f t="shared" ca="1" si="4"/>
        <v>16.521104250843297</v>
      </c>
      <c r="P168" s="21">
        <f t="shared" ca="1" si="5"/>
        <v>499.77020735563059</v>
      </c>
      <c r="Q168">
        <v>71</v>
      </c>
      <c r="R168">
        <v>86</v>
      </c>
      <c r="S168">
        <v>11.211567410458922</v>
      </c>
      <c r="T168" s="21">
        <v>234.05707214633793</v>
      </c>
    </row>
    <row r="169" spans="14:20" x14ac:dyDescent="0.25">
      <c r="N169">
        <v>688</v>
      </c>
      <c r="O169" s="1">
        <f t="shared" ca="1" si="4"/>
        <v>16.529277214772456</v>
      </c>
      <c r="P169" s="21">
        <f t="shared" ca="1" si="5"/>
        <v>500.41142885105245</v>
      </c>
      <c r="Q169">
        <v>73</v>
      </c>
      <c r="R169">
        <v>88</v>
      </c>
      <c r="S169">
        <v>11.166269136283757</v>
      </c>
      <c r="T169" s="21">
        <v>240.38485159185234</v>
      </c>
    </row>
    <row r="170" spans="14:20" x14ac:dyDescent="0.25">
      <c r="N170">
        <v>680</v>
      </c>
      <c r="O170" s="1">
        <f t="shared" ca="1" si="4"/>
        <v>16.494925055488324</v>
      </c>
      <c r="P170" s="21">
        <f t="shared" ca="1" si="5"/>
        <v>500.22848818647043</v>
      </c>
      <c r="Q170">
        <v>75</v>
      </c>
      <c r="R170">
        <v>90</v>
      </c>
      <c r="S170">
        <v>11.015523889322543</v>
      </c>
      <c r="T170" s="21">
        <v>246.71167772221551</v>
      </c>
    </row>
    <row r="171" spans="14:20" x14ac:dyDescent="0.25">
      <c r="N171">
        <v>672</v>
      </c>
      <c r="O171" s="1">
        <f t="shared" ca="1" si="4"/>
        <v>16.454821958071992</v>
      </c>
      <c r="P171" s="21">
        <f t="shared" ca="1" si="5"/>
        <v>500.40220195987604</v>
      </c>
      <c r="Q171">
        <v>73</v>
      </c>
      <c r="R171">
        <v>88</v>
      </c>
      <c r="S171">
        <v>11.170568388933827</v>
      </c>
      <c r="T171" s="21">
        <v>240.38573726779973</v>
      </c>
    </row>
    <row r="172" spans="14:20" x14ac:dyDescent="0.25">
      <c r="N172">
        <v>664</v>
      </c>
      <c r="O172" s="1">
        <f t="shared" ca="1" si="4"/>
        <v>16.501135231420889</v>
      </c>
      <c r="P172" s="21">
        <f t="shared" ca="1" si="5"/>
        <v>500.30513593087687</v>
      </c>
      <c r="Q172">
        <v>75</v>
      </c>
      <c r="R172">
        <v>90</v>
      </c>
      <c r="S172">
        <v>11.03706775228699</v>
      </c>
      <c r="T172" s="21">
        <v>246.71258670877376</v>
      </c>
    </row>
    <row r="173" spans="14:20" x14ac:dyDescent="0.25">
      <c r="N173">
        <v>656</v>
      </c>
      <c r="O173" s="1">
        <f t="shared" ca="1" si="4"/>
        <v>16.489255125339334</v>
      </c>
      <c r="P173" s="21">
        <f t="shared" ca="1" si="5"/>
        <v>499.60339077134182</v>
      </c>
      <c r="Q173">
        <v>73</v>
      </c>
      <c r="R173">
        <v>88</v>
      </c>
      <c r="S173">
        <v>11.163030213606902</v>
      </c>
      <c r="T173" s="21">
        <v>240.38662294701032</v>
      </c>
    </row>
    <row r="174" spans="14:20" x14ac:dyDescent="0.25">
      <c r="N174">
        <v>648</v>
      </c>
      <c r="O174" s="1">
        <f t="shared" ca="1" si="4"/>
        <v>16.489314871993294</v>
      </c>
      <c r="P174" s="21">
        <f t="shared" ca="1" si="5"/>
        <v>500.19354749895786</v>
      </c>
      <c r="Q174">
        <v>75</v>
      </c>
      <c r="R174">
        <v>90</v>
      </c>
      <c r="S174">
        <v>11.054828778960122</v>
      </c>
      <c r="T174" s="21">
        <v>246.71349569868107</v>
      </c>
    </row>
    <row r="175" spans="14:20" x14ac:dyDescent="0.25">
      <c r="N175">
        <v>640</v>
      </c>
      <c r="O175" s="1">
        <f t="shared" ca="1" si="4"/>
        <v>16.544863578680854</v>
      </c>
      <c r="P175" s="21">
        <f t="shared" ca="1" si="5"/>
        <v>500.02620452896724</v>
      </c>
      <c r="Q175">
        <v>73</v>
      </c>
      <c r="R175">
        <v>88</v>
      </c>
      <c r="S175">
        <v>11.122982150264063</v>
      </c>
      <c r="T175" s="21">
        <v>240.3875086294841</v>
      </c>
    </row>
    <row r="176" spans="14:20" x14ac:dyDescent="0.25">
      <c r="N176">
        <v>632</v>
      </c>
      <c r="O176" s="1">
        <f t="shared" ca="1" si="4"/>
        <v>16.532577526242534</v>
      </c>
      <c r="P176" s="21">
        <f t="shared" ca="1" si="5"/>
        <v>500.09669927085713</v>
      </c>
      <c r="Q176">
        <v>71</v>
      </c>
      <c r="R176">
        <v>86</v>
      </c>
      <c r="S176">
        <v>11.2086276441596</v>
      </c>
      <c r="T176" s="21">
        <v>234.06061256703074</v>
      </c>
    </row>
    <row r="177" spans="14:20" x14ac:dyDescent="0.25">
      <c r="N177">
        <v>624</v>
      </c>
      <c r="O177" s="1">
        <f t="shared" ca="1" si="4"/>
        <v>16.535835870599474</v>
      </c>
      <c r="P177" s="21">
        <f t="shared" ca="1" si="5"/>
        <v>500.41839457994053</v>
      </c>
      <c r="Q177">
        <v>73</v>
      </c>
      <c r="R177">
        <v>88</v>
      </c>
      <c r="S177">
        <v>11.16546729721763</v>
      </c>
      <c r="T177" s="21">
        <v>240.38848772852197</v>
      </c>
    </row>
    <row r="178" spans="14:20" x14ac:dyDescent="0.25">
      <c r="N178">
        <v>616</v>
      </c>
      <c r="O178" s="1">
        <f t="shared" ca="1" si="4"/>
        <v>16.459128665978326</v>
      </c>
      <c r="P178" s="21">
        <f t="shared" ca="1" si="5"/>
        <v>500.38939209613682</v>
      </c>
      <c r="Q178">
        <v>75</v>
      </c>
      <c r="R178">
        <v>90</v>
      </c>
      <c r="S178">
        <v>11.075450485332734</v>
      </c>
      <c r="T178" s="21">
        <v>246.7154095604418</v>
      </c>
    </row>
    <row r="179" spans="14:20" x14ac:dyDescent="0.25">
      <c r="N179">
        <v>608</v>
      </c>
      <c r="O179" s="1">
        <f t="shared" ca="1" si="4"/>
        <v>16.496733805826143</v>
      </c>
      <c r="P179" s="21">
        <f t="shared" ca="1" si="5"/>
        <v>499.8010509856291</v>
      </c>
      <c r="Q179">
        <v>73</v>
      </c>
      <c r="R179">
        <v>88</v>
      </c>
      <c r="S179">
        <v>11.145599822220884</v>
      </c>
      <c r="T179" s="21">
        <v>240.38937341786635</v>
      </c>
    </row>
    <row r="180" spans="14:20" x14ac:dyDescent="0.25">
      <c r="N180">
        <v>600</v>
      </c>
      <c r="O180" s="1">
        <f t="shared" ca="1" si="4"/>
        <v>16.488422762328462</v>
      </c>
      <c r="P180" s="21">
        <f t="shared" ca="1" si="5"/>
        <v>499.69056848917319</v>
      </c>
      <c r="Q180">
        <v>71</v>
      </c>
      <c r="R180">
        <v>86</v>
      </c>
      <c r="S180">
        <v>11.250270458927583</v>
      </c>
      <c r="T180" s="21">
        <v>234.06242827498306</v>
      </c>
    </row>
    <row r="181" spans="14:20" x14ac:dyDescent="0.25">
      <c r="N181">
        <v>592</v>
      </c>
      <c r="O181" s="1">
        <f t="shared" ca="1" si="4"/>
        <v>16.523830318390999</v>
      </c>
      <c r="P181" s="21">
        <f t="shared" ca="1" si="5"/>
        <v>499.91552339513891</v>
      </c>
      <c r="Q181">
        <v>73</v>
      </c>
      <c r="R181">
        <v>88</v>
      </c>
      <c r="S181">
        <v>11.136799744187691</v>
      </c>
      <c r="T181" s="21">
        <v>240.39035252449949</v>
      </c>
    </row>
    <row r="182" spans="14:20" x14ac:dyDescent="0.25">
      <c r="N182">
        <v>584</v>
      </c>
      <c r="O182" s="1">
        <f t="shared" ca="1" si="4"/>
        <v>16.455345592768207</v>
      </c>
      <c r="P182" s="21">
        <f t="shared" ca="1" si="5"/>
        <v>500.14092265092307</v>
      </c>
      <c r="Q182">
        <v>71</v>
      </c>
      <c r="R182">
        <v>86</v>
      </c>
      <c r="S182">
        <v>11.206960408479867</v>
      </c>
      <c r="T182" s="21">
        <v>234.06338161194981</v>
      </c>
    </row>
    <row r="183" spans="14:20" x14ac:dyDescent="0.25">
      <c r="N183">
        <v>576</v>
      </c>
      <c r="O183" s="1">
        <f t="shared" ca="1" si="4"/>
        <v>16.511361724996263</v>
      </c>
      <c r="P183" s="21">
        <f t="shared" ca="1" si="5"/>
        <v>500.0992713429838</v>
      </c>
      <c r="Q183">
        <v>73</v>
      </c>
      <c r="R183">
        <v>88</v>
      </c>
      <c r="S183">
        <v>11.119457464159469</v>
      </c>
      <c r="T183" s="21">
        <v>240.39133163512054</v>
      </c>
    </row>
    <row r="184" spans="14:20" x14ac:dyDescent="0.25">
      <c r="N184">
        <v>568</v>
      </c>
      <c r="O184" s="1">
        <f t="shared" ca="1" si="4"/>
        <v>16.498446481831255</v>
      </c>
      <c r="P184" s="21">
        <f t="shared" ca="1" si="5"/>
        <v>500.10643975356953</v>
      </c>
      <c r="Q184">
        <v>71</v>
      </c>
      <c r="R184">
        <v>86</v>
      </c>
      <c r="S184">
        <v>11.231884044862539</v>
      </c>
      <c r="T184" s="21">
        <v>234.0643349527995</v>
      </c>
    </row>
    <row r="185" spans="14:20" x14ac:dyDescent="0.25">
      <c r="N185">
        <v>560</v>
      </c>
      <c r="O185" s="1">
        <f t="shared" ca="1" si="4"/>
        <v>16.54241242988217</v>
      </c>
      <c r="P185" s="21">
        <f t="shared" ca="1" si="5"/>
        <v>500.05907372341335</v>
      </c>
      <c r="Q185">
        <v>73</v>
      </c>
      <c r="R185">
        <v>88</v>
      </c>
      <c r="S185">
        <v>11.171798375430118</v>
      </c>
      <c r="T185" s="21">
        <v>240.39231074972949</v>
      </c>
    </row>
    <row r="186" spans="14:20" x14ac:dyDescent="0.25">
      <c r="N186">
        <v>552</v>
      </c>
      <c r="O186" s="1">
        <f t="shared" ca="1" si="4"/>
        <v>16.477954727688662</v>
      </c>
      <c r="P186" s="21">
        <f t="shared" ca="1" si="5"/>
        <v>499.64693588254056</v>
      </c>
      <c r="Q186">
        <v>75</v>
      </c>
      <c r="R186">
        <v>90</v>
      </c>
      <c r="S186">
        <v>11.045394264883848</v>
      </c>
      <c r="T186" s="21">
        <v>246.71933320192682</v>
      </c>
    </row>
    <row r="187" spans="14:20" x14ac:dyDescent="0.25">
      <c r="N187">
        <v>544</v>
      </c>
      <c r="O187" s="1">
        <f t="shared" ca="1" si="4"/>
        <v>16.518148076183433</v>
      </c>
      <c r="P187" s="21">
        <f t="shared" ca="1" si="5"/>
        <v>499.77391692090356</v>
      </c>
      <c r="Q187">
        <v>73</v>
      </c>
      <c r="R187">
        <v>88</v>
      </c>
      <c r="S187">
        <v>11.125529497218677</v>
      </c>
      <c r="T187" s="21">
        <v>240.39319645315945</v>
      </c>
    </row>
    <row r="188" spans="14:20" x14ac:dyDescent="0.25">
      <c r="N188">
        <v>536</v>
      </c>
      <c r="O188" s="1">
        <f t="shared" ca="1" si="4"/>
        <v>16.501112002321509</v>
      </c>
      <c r="P188" s="21">
        <f t="shared" ca="1" si="5"/>
        <v>499.88116347307732</v>
      </c>
      <c r="Q188">
        <v>71</v>
      </c>
      <c r="R188">
        <v>86</v>
      </c>
      <c r="S188">
        <v>11.269837049278117</v>
      </c>
      <c r="T188" s="21">
        <v>234.06615068962793</v>
      </c>
    </row>
    <row r="189" spans="14:20" x14ac:dyDescent="0.25">
      <c r="N189">
        <v>528</v>
      </c>
      <c r="O189" s="1">
        <f t="shared" ca="1" si="4"/>
        <v>16.459689158893646</v>
      </c>
      <c r="P189" s="21">
        <f t="shared" ca="1" si="5"/>
        <v>500.32366314999962</v>
      </c>
      <c r="Q189">
        <v>73</v>
      </c>
      <c r="R189">
        <v>88</v>
      </c>
      <c r="S189">
        <v>11.119905256381497</v>
      </c>
      <c r="T189" s="21">
        <v>240.39417557536382</v>
      </c>
    </row>
    <row r="190" spans="14:20" x14ac:dyDescent="0.25">
      <c r="N190">
        <v>520</v>
      </c>
      <c r="O190" s="1">
        <f t="shared" ca="1" si="4"/>
        <v>16.493567809428828</v>
      </c>
      <c r="P190" s="21">
        <f t="shared" ca="1" si="5"/>
        <v>500.14631594045125</v>
      </c>
      <c r="Q190">
        <v>71</v>
      </c>
      <c r="R190">
        <v>86</v>
      </c>
      <c r="S190">
        <v>11.214489491159604</v>
      </c>
      <c r="T190" s="21">
        <v>234.0671040417561</v>
      </c>
    </row>
    <row r="191" spans="14:20" x14ac:dyDescent="0.25">
      <c r="N191">
        <v>512</v>
      </c>
      <c r="O191" s="1">
        <f t="shared" ca="1" si="4"/>
        <v>16.461429892590729</v>
      </c>
      <c r="P191" s="21">
        <f t="shared" ca="1" si="5"/>
        <v>499.53062071236906</v>
      </c>
      <c r="Q191">
        <v>73</v>
      </c>
      <c r="R191">
        <v>88</v>
      </c>
      <c r="S191">
        <v>11.166783766882402</v>
      </c>
      <c r="T191" s="21">
        <v>240.39515470155615</v>
      </c>
    </row>
    <row r="192" spans="14:20" x14ac:dyDescent="0.25">
      <c r="N192">
        <v>504</v>
      </c>
      <c r="O192" s="1">
        <f t="shared" ca="1" si="4"/>
        <v>16.503088477000915</v>
      </c>
      <c r="P192" s="21">
        <f t="shared" ca="1" si="5"/>
        <v>499.84880692758975</v>
      </c>
      <c r="Q192">
        <v>75</v>
      </c>
      <c r="R192">
        <v>90</v>
      </c>
      <c r="S192">
        <v>11.074242309536118</v>
      </c>
      <c r="T192" s="21">
        <v>246.72225200534507</v>
      </c>
    </row>
    <row r="193" spans="14:20" x14ac:dyDescent="0.25">
      <c r="N193">
        <v>496</v>
      </c>
      <c r="O193" s="1">
        <f t="shared" ca="1" si="4"/>
        <v>16.537977238307587</v>
      </c>
      <c r="P193" s="21">
        <f t="shared" ca="1" si="5"/>
        <v>500.25173788649204</v>
      </c>
      <c r="Q193">
        <v>73</v>
      </c>
      <c r="R193">
        <v>88</v>
      </c>
      <c r="S193">
        <v>11.136165285491789</v>
      </c>
      <c r="T193" s="21">
        <v>240.39604041546443</v>
      </c>
    </row>
    <row r="194" spans="14:20" x14ac:dyDescent="0.25">
      <c r="N194">
        <v>488</v>
      </c>
      <c r="O194" s="1">
        <f t="shared" ca="1" si="4"/>
        <v>16.536705176433678</v>
      </c>
      <c r="P194" s="21">
        <f t="shared" ca="1" si="5"/>
        <v>500.28913247574985</v>
      </c>
      <c r="Q194">
        <v>71</v>
      </c>
      <c r="R194">
        <v>86</v>
      </c>
      <c r="S194">
        <v>11.245122877642775</v>
      </c>
      <c r="T194" s="21">
        <v>234.06891980006557</v>
      </c>
    </row>
    <row r="195" spans="14:20" x14ac:dyDescent="0.25">
      <c r="N195">
        <v>480</v>
      </c>
      <c r="O195" s="1">
        <f t="shared" ca="1" si="4"/>
        <v>16.511408488654475</v>
      </c>
      <c r="P195" s="21">
        <f t="shared" ca="1" si="5"/>
        <v>500.35741842846755</v>
      </c>
      <c r="Q195">
        <v>73</v>
      </c>
      <c r="R195">
        <v>88</v>
      </c>
      <c r="S195">
        <v>11.164958273474907</v>
      </c>
      <c r="T195" s="21">
        <v>240.39701954925226</v>
      </c>
    </row>
    <row r="196" spans="14:20" x14ac:dyDescent="0.25">
      <c r="N196">
        <v>472</v>
      </c>
      <c r="O196" s="1">
        <f t="shared" ca="1" si="4"/>
        <v>16.493378030071323</v>
      </c>
      <c r="P196" s="21">
        <f t="shared" ca="1" si="5"/>
        <v>499.53537820322265</v>
      </c>
      <c r="Q196">
        <v>75</v>
      </c>
      <c r="R196">
        <v>90</v>
      </c>
      <c r="S196">
        <v>11.042918608905813</v>
      </c>
      <c r="T196" s="21">
        <v>246.7241659350322</v>
      </c>
    </row>
    <row r="197" spans="14:20" x14ac:dyDescent="0.25">
      <c r="N197">
        <v>464</v>
      </c>
      <c r="O197" s="1">
        <f t="shared" ca="1" si="4"/>
        <v>16.484856569795049</v>
      </c>
      <c r="P197" s="21">
        <f t="shared" ca="1" si="5"/>
        <v>500.37894710467577</v>
      </c>
      <c r="Q197">
        <v>73</v>
      </c>
      <c r="R197">
        <v>88</v>
      </c>
      <c r="S197">
        <v>11.171326930914756</v>
      </c>
      <c r="T197" s="21">
        <v>240.39790527003137</v>
      </c>
    </row>
    <row r="198" spans="14:20" x14ac:dyDescent="0.25">
      <c r="N198">
        <v>456</v>
      </c>
      <c r="O198" s="1">
        <f t="shared" ref="O198:O255" ca="1" si="6">$C$9+(RAND()-0.5)*$C$6</f>
        <v>16.488687303789778</v>
      </c>
      <c r="P198" s="21">
        <f t="shared" ref="P198:P255" ca="1" si="7">$G$26+(RAND()-0.5)*$G$23</f>
        <v>499.65864859145643</v>
      </c>
      <c r="Q198">
        <v>75</v>
      </c>
      <c r="R198">
        <v>90</v>
      </c>
      <c r="S198">
        <v>11.063998929615865</v>
      </c>
      <c r="T198" s="21">
        <v>246.7250749676021</v>
      </c>
    </row>
    <row r="199" spans="14:20" x14ac:dyDescent="0.25">
      <c r="N199">
        <v>448</v>
      </c>
      <c r="O199" s="1">
        <f t="shared" ca="1" si="6"/>
        <v>16.504501331293152</v>
      </c>
      <c r="P199" s="21">
        <f t="shared" ca="1" si="7"/>
        <v>500.01232373538448</v>
      </c>
      <c r="Q199">
        <v>73</v>
      </c>
      <c r="R199">
        <v>88</v>
      </c>
      <c r="S199">
        <v>11.12069041978212</v>
      </c>
      <c r="T199" s="21">
        <v>240.39879099407383</v>
      </c>
    </row>
    <row r="200" spans="14:20" x14ac:dyDescent="0.25">
      <c r="N200">
        <v>440</v>
      </c>
      <c r="O200" s="1">
        <f t="shared" ca="1" si="6"/>
        <v>16.549777821051599</v>
      </c>
      <c r="P200" s="21">
        <f t="shared" ca="1" si="7"/>
        <v>500.25077247455539</v>
      </c>
      <c r="Q200">
        <v>71</v>
      </c>
      <c r="R200">
        <v>86</v>
      </c>
      <c r="S200">
        <v>11.256446550285878</v>
      </c>
      <c r="T200" s="21">
        <v>234.07159798462641</v>
      </c>
    </row>
    <row r="201" spans="14:20" x14ac:dyDescent="0.25">
      <c r="N201">
        <v>432</v>
      </c>
      <c r="O201" s="1">
        <f t="shared" ca="1" si="6"/>
        <v>16.465210185867679</v>
      </c>
      <c r="P201" s="21">
        <f t="shared" ca="1" si="7"/>
        <v>500.22783796497527</v>
      </c>
      <c r="Q201">
        <v>73</v>
      </c>
      <c r="R201">
        <v>88</v>
      </c>
      <c r="S201">
        <v>11.135559039115442</v>
      </c>
      <c r="T201" s="21">
        <v>240.3997701390648</v>
      </c>
    </row>
    <row r="202" spans="14:20" x14ac:dyDescent="0.25">
      <c r="N202">
        <v>424</v>
      </c>
      <c r="O202" s="1">
        <f t="shared" ca="1" si="6"/>
        <v>16.462085602147255</v>
      </c>
      <c r="P202" s="21">
        <f t="shared" ca="1" si="7"/>
        <v>499.53021611377557</v>
      </c>
      <c r="Q202">
        <v>71</v>
      </c>
      <c r="R202">
        <v>86</v>
      </c>
      <c r="S202">
        <v>11.240637941403881</v>
      </c>
      <c r="T202" s="21">
        <v>234.07255135894144</v>
      </c>
    </row>
    <row r="203" spans="14:20" x14ac:dyDescent="0.25">
      <c r="N203">
        <v>416</v>
      </c>
      <c r="O203" s="1">
        <f t="shared" ca="1" si="6"/>
        <v>16.529319039041475</v>
      </c>
      <c r="P203" s="21">
        <f t="shared" ca="1" si="7"/>
        <v>500.29486349166302</v>
      </c>
      <c r="Q203">
        <v>73</v>
      </c>
      <c r="R203">
        <v>88</v>
      </c>
      <c r="S203">
        <v>11.110297508118421</v>
      </c>
      <c r="T203" s="21">
        <v>240.40074928804384</v>
      </c>
    </row>
    <row r="204" spans="14:20" x14ac:dyDescent="0.25">
      <c r="N204">
        <v>408</v>
      </c>
      <c r="O204" s="1">
        <f t="shared" ca="1" si="6"/>
        <v>16.48821875004921</v>
      </c>
      <c r="P204" s="21">
        <f t="shared" ca="1" si="7"/>
        <v>499.59202281538228</v>
      </c>
      <c r="Q204">
        <v>71</v>
      </c>
      <c r="R204">
        <v>86</v>
      </c>
      <c r="S204">
        <v>11.23329483345937</v>
      </c>
      <c r="T204" s="21">
        <v>234.07350473713956</v>
      </c>
    </row>
    <row r="205" spans="14:20" x14ac:dyDescent="0.25">
      <c r="N205">
        <v>400</v>
      </c>
      <c r="O205" s="1">
        <f t="shared" ca="1" si="6"/>
        <v>16.525979811922426</v>
      </c>
      <c r="P205" s="21">
        <f t="shared" ca="1" si="7"/>
        <v>499.60982462729731</v>
      </c>
      <c r="Q205">
        <v>73</v>
      </c>
      <c r="R205">
        <v>88</v>
      </c>
      <c r="S205">
        <v>11.132817196479266</v>
      </c>
      <c r="T205" s="21">
        <v>240.40172844101093</v>
      </c>
    </row>
    <row r="206" spans="14:20" x14ac:dyDescent="0.25">
      <c r="N206">
        <v>392</v>
      </c>
      <c r="O206" s="1">
        <f t="shared" ca="1" si="6"/>
        <v>16.454791633298083</v>
      </c>
      <c r="P206" s="21">
        <f t="shared" ca="1" si="7"/>
        <v>500.40758413624434</v>
      </c>
      <c r="Q206">
        <v>71</v>
      </c>
      <c r="R206">
        <v>86</v>
      </c>
      <c r="S206">
        <v>11.268693320751087</v>
      </c>
      <c r="T206" s="21">
        <v>234.07445811922076</v>
      </c>
    </row>
    <row r="207" spans="14:20" x14ac:dyDescent="0.25">
      <c r="N207">
        <v>384</v>
      </c>
      <c r="O207" s="1">
        <f t="shared" ca="1" si="6"/>
        <v>16.519888584710497</v>
      </c>
      <c r="P207" s="21">
        <f t="shared" ca="1" si="7"/>
        <v>500.03032329309178</v>
      </c>
      <c r="Q207">
        <v>73</v>
      </c>
      <c r="R207">
        <v>88</v>
      </c>
      <c r="S207">
        <v>11.134272148121125</v>
      </c>
      <c r="T207" s="21">
        <v>240.40270759796613</v>
      </c>
    </row>
    <row r="208" spans="14:20" x14ac:dyDescent="0.25">
      <c r="N208">
        <v>376</v>
      </c>
      <c r="O208" s="1">
        <f t="shared" ca="1" si="6"/>
        <v>16.509620280546898</v>
      </c>
      <c r="P208" s="21">
        <f t="shared" ca="1" si="7"/>
        <v>500.46268441340823</v>
      </c>
      <c r="Q208">
        <v>71</v>
      </c>
      <c r="R208">
        <v>86</v>
      </c>
      <c r="S208">
        <v>11.256918210838815</v>
      </c>
      <c r="T208" s="21">
        <v>234.07541150518512</v>
      </c>
    </row>
    <row r="209" spans="14:20" x14ac:dyDescent="0.25">
      <c r="N209">
        <v>368</v>
      </c>
      <c r="O209" s="1">
        <f t="shared" ca="1" si="6"/>
        <v>16.53135167223062</v>
      </c>
      <c r="P209" s="21">
        <f t="shared" ca="1" si="7"/>
        <v>500.4485082217202</v>
      </c>
      <c r="Q209">
        <v>73</v>
      </c>
      <c r="R209">
        <v>88</v>
      </c>
      <c r="S209">
        <v>11.124373058294077</v>
      </c>
      <c r="T209" s="21">
        <v>240.40368675890943</v>
      </c>
    </row>
    <row r="210" spans="14:20" x14ac:dyDescent="0.25">
      <c r="N210">
        <v>360</v>
      </c>
      <c r="O210" s="1">
        <f t="shared" ca="1" si="6"/>
        <v>16.505625005722148</v>
      </c>
      <c r="P210" s="21">
        <f t="shared" ca="1" si="7"/>
        <v>500.09376217802139</v>
      </c>
      <c r="Q210">
        <v>71</v>
      </c>
      <c r="R210">
        <v>86</v>
      </c>
      <c r="S210">
        <v>11.25976697904766</v>
      </c>
      <c r="T210" s="21">
        <v>234.07636489503261</v>
      </c>
    </row>
    <row r="211" spans="14:20" x14ac:dyDescent="0.25">
      <c r="N211">
        <v>352</v>
      </c>
      <c r="O211" s="1">
        <f t="shared" ca="1" si="6"/>
        <v>16.501869896514286</v>
      </c>
      <c r="P211" s="21">
        <f t="shared" ca="1" si="7"/>
        <v>500.11125138487319</v>
      </c>
      <c r="Q211">
        <v>73</v>
      </c>
      <c r="R211">
        <v>88</v>
      </c>
      <c r="S211">
        <v>11.11547973019375</v>
      </c>
      <c r="T211" s="21">
        <v>240.40466592384087</v>
      </c>
    </row>
    <row r="212" spans="14:20" x14ac:dyDescent="0.25">
      <c r="N212">
        <v>344</v>
      </c>
      <c r="O212" s="1">
        <f t="shared" ca="1" si="6"/>
        <v>16.45257432065068</v>
      </c>
      <c r="P212" s="21">
        <f t="shared" ca="1" si="7"/>
        <v>499.85711297648817</v>
      </c>
      <c r="Q212">
        <v>71</v>
      </c>
      <c r="R212">
        <v>86</v>
      </c>
      <c r="S212">
        <v>11.267501806475295</v>
      </c>
      <c r="T212" s="21">
        <v>234.07731828876325</v>
      </c>
    </row>
    <row r="213" spans="14:20" x14ac:dyDescent="0.25">
      <c r="N213">
        <v>336</v>
      </c>
      <c r="O213" s="1">
        <f t="shared" ca="1" si="6"/>
        <v>16.523139667338032</v>
      </c>
      <c r="P213" s="21">
        <f t="shared" ca="1" si="7"/>
        <v>499.57609769992627</v>
      </c>
      <c r="Q213">
        <v>73</v>
      </c>
      <c r="R213">
        <v>88</v>
      </c>
      <c r="S213">
        <v>11.111012612311361</v>
      </c>
      <c r="T213" s="21">
        <v>240.40564509276041</v>
      </c>
    </row>
    <row r="214" spans="14:20" x14ac:dyDescent="0.25">
      <c r="N214">
        <v>328</v>
      </c>
      <c r="O214" s="1">
        <f t="shared" ca="1" si="6"/>
        <v>16.542016205642753</v>
      </c>
      <c r="P214" s="21">
        <f t="shared" ca="1" si="7"/>
        <v>500.29600299499572</v>
      </c>
      <c r="Q214">
        <v>71</v>
      </c>
      <c r="R214">
        <v>86</v>
      </c>
      <c r="S214">
        <v>11.256263394577957</v>
      </c>
      <c r="T214" s="21">
        <v>234.07827168637706</v>
      </c>
    </row>
    <row r="215" spans="14:20" x14ac:dyDescent="0.25">
      <c r="N215">
        <v>320</v>
      </c>
      <c r="O215" s="1">
        <f t="shared" ca="1" si="6"/>
        <v>16.457863963314651</v>
      </c>
      <c r="P215" s="21">
        <f t="shared" ca="1" si="7"/>
        <v>499.76884403051162</v>
      </c>
      <c r="Q215">
        <v>73</v>
      </c>
      <c r="R215">
        <v>88</v>
      </c>
      <c r="S215">
        <v>11.118386455026791</v>
      </c>
      <c r="T215" s="21">
        <v>240.40662426566814</v>
      </c>
    </row>
    <row r="216" spans="14:20" x14ac:dyDescent="0.25">
      <c r="N216">
        <v>312</v>
      </c>
      <c r="O216" s="1">
        <f t="shared" ca="1" si="6"/>
        <v>16.485165307912137</v>
      </c>
      <c r="P216" s="21">
        <f t="shared" ca="1" si="7"/>
        <v>499.64449223174796</v>
      </c>
      <c r="Q216">
        <v>71</v>
      </c>
      <c r="R216">
        <v>86</v>
      </c>
      <c r="S216">
        <v>11.230295954570051</v>
      </c>
      <c r="T216" s="21">
        <v>234.07922508787408</v>
      </c>
    </row>
    <row r="217" spans="14:20" x14ac:dyDescent="0.25">
      <c r="N217">
        <v>304</v>
      </c>
      <c r="O217" s="1">
        <f t="shared" ca="1" si="6"/>
        <v>16.469852871793957</v>
      </c>
      <c r="P217" s="21">
        <f t="shared" ca="1" si="7"/>
        <v>499.59648316566876</v>
      </c>
      <c r="Q217">
        <v>73</v>
      </c>
      <c r="R217">
        <v>88</v>
      </c>
      <c r="S217">
        <v>11.110145083983451</v>
      </c>
      <c r="T217" s="21">
        <v>240.40760344256404</v>
      </c>
    </row>
    <row r="218" spans="14:20" x14ac:dyDescent="0.25">
      <c r="N218">
        <v>296</v>
      </c>
      <c r="O218" s="1">
        <f t="shared" ca="1" si="6"/>
        <v>16.510472460162021</v>
      </c>
      <c r="P218" s="21">
        <f t="shared" ca="1" si="7"/>
        <v>499.62355419707728</v>
      </c>
      <c r="Q218">
        <v>71</v>
      </c>
      <c r="R218">
        <v>86</v>
      </c>
      <c r="S218">
        <v>11.211066790903949</v>
      </c>
      <c r="T218" s="21">
        <v>234.08017849325429</v>
      </c>
    </row>
    <row r="219" spans="14:20" x14ac:dyDescent="0.25">
      <c r="N219">
        <v>288</v>
      </c>
      <c r="O219" s="1">
        <f t="shared" ca="1" si="6"/>
        <v>16.499810658814692</v>
      </c>
      <c r="P219" s="21">
        <f t="shared" ca="1" si="7"/>
        <v>500.04383879517627</v>
      </c>
      <c r="Q219">
        <v>73</v>
      </c>
      <c r="R219">
        <v>88</v>
      </c>
      <c r="S219">
        <v>11.1527072697198</v>
      </c>
      <c r="T219" s="21">
        <v>240.40858262344813</v>
      </c>
    </row>
    <row r="220" spans="14:20" x14ac:dyDescent="0.25">
      <c r="N220">
        <v>280</v>
      </c>
      <c r="O220" s="1">
        <f t="shared" ca="1" si="6"/>
        <v>16.468761401848532</v>
      </c>
      <c r="P220" s="21">
        <f t="shared" ca="1" si="7"/>
        <v>499.73014601416457</v>
      </c>
      <c r="Q220">
        <v>75</v>
      </c>
      <c r="R220">
        <v>90</v>
      </c>
      <c r="S220">
        <v>11.044896429175905</v>
      </c>
      <c r="T220" s="21">
        <v>246.73603334437851</v>
      </c>
    </row>
    <row r="221" spans="14:20" x14ac:dyDescent="0.25">
      <c r="N221">
        <v>272</v>
      </c>
      <c r="O221" s="1">
        <f t="shared" ca="1" si="6"/>
        <v>16.45374775628742</v>
      </c>
      <c r="P221" s="21">
        <f t="shared" ca="1" si="7"/>
        <v>499.96890206666245</v>
      </c>
      <c r="Q221">
        <v>73</v>
      </c>
      <c r="R221">
        <v>88</v>
      </c>
      <c r="S221">
        <v>11.115020340004781</v>
      </c>
      <c r="T221" s="21">
        <v>240.40946838683033</v>
      </c>
    </row>
    <row r="222" spans="14:20" x14ac:dyDescent="0.25">
      <c r="N222">
        <v>264</v>
      </c>
      <c r="O222" s="1">
        <f t="shared" ca="1" si="6"/>
        <v>16.481608641447863</v>
      </c>
      <c r="P222" s="21">
        <f t="shared" ca="1" si="7"/>
        <v>499.57581836930211</v>
      </c>
      <c r="Q222">
        <v>71</v>
      </c>
      <c r="R222">
        <v>86</v>
      </c>
      <c r="S222">
        <v>11.263858963019207</v>
      </c>
      <c r="T222" s="21">
        <v>234.08199435298786</v>
      </c>
    </row>
    <row r="223" spans="14:20" x14ac:dyDescent="0.25">
      <c r="N223">
        <v>256</v>
      </c>
      <c r="O223" s="1">
        <f t="shared" ca="1" si="6"/>
        <v>16.485886545171901</v>
      </c>
      <c r="P223" s="21">
        <f t="shared" ca="1" si="7"/>
        <v>500.09749047168771</v>
      </c>
      <c r="Q223">
        <v>73</v>
      </c>
      <c r="R223">
        <v>88</v>
      </c>
      <c r="S223">
        <v>11.171307323134192</v>
      </c>
      <c r="T223" s="21">
        <v>240.41044757531034</v>
      </c>
    </row>
    <row r="224" spans="14:20" x14ac:dyDescent="0.25">
      <c r="N224">
        <v>248</v>
      </c>
      <c r="O224" s="1">
        <f t="shared" ca="1" si="6"/>
        <v>16.466277495235449</v>
      </c>
      <c r="P224" s="21">
        <f t="shared" ca="1" si="7"/>
        <v>499.55552144305915</v>
      </c>
      <c r="Q224">
        <v>75</v>
      </c>
      <c r="R224">
        <v>90</v>
      </c>
      <c r="S224">
        <v>11.054125894664214</v>
      </c>
      <c r="T224" s="21">
        <v>246.73794738097337</v>
      </c>
    </row>
    <row r="225" spans="14:20" x14ac:dyDescent="0.25">
      <c r="N225">
        <v>240</v>
      </c>
      <c r="O225" s="1">
        <f t="shared" ca="1" si="6"/>
        <v>16.465194358568844</v>
      </c>
      <c r="P225" s="21">
        <f t="shared" ca="1" si="7"/>
        <v>500.28376958506527</v>
      </c>
      <c r="Q225">
        <v>73</v>
      </c>
      <c r="R225">
        <v>88</v>
      </c>
      <c r="S225">
        <v>11.123316794519264</v>
      </c>
      <c r="T225" s="21">
        <v>240.41133334556378</v>
      </c>
    </row>
    <row r="226" spans="14:20" x14ac:dyDescent="0.25">
      <c r="N226">
        <v>232</v>
      </c>
      <c r="O226" s="1">
        <f t="shared" ca="1" si="6"/>
        <v>16.509770999457643</v>
      </c>
      <c r="P226" s="21">
        <f t="shared" ca="1" si="7"/>
        <v>499.52273347038096</v>
      </c>
      <c r="Q226">
        <v>71</v>
      </c>
      <c r="R226">
        <v>86</v>
      </c>
      <c r="S226">
        <v>11.220256638520702</v>
      </c>
      <c r="T226" s="21">
        <v>234.08381022680783</v>
      </c>
    </row>
    <row r="227" spans="14:20" x14ac:dyDescent="0.25">
      <c r="N227">
        <v>224</v>
      </c>
      <c r="O227" s="1">
        <f t="shared" ca="1" si="6"/>
        <v>16.501715668794429</v>
      </c>
      <c r="P227" s="21">
        <f t="shared" ca="1" si="7"/>
        <v>500.14504704958244</v>
      </c>
      <c r="Q227">
        <v>73</v>
      </c>
      <c r="R227">
        <v>88</v>
      </c>
      <c r="S227">
        <v>11.162190264383595</v>
      </c>
      <c r="T227" s="21">
        <v>240.41231254163978</v>
      </c>
    </row>
    <row r="228" spans="14:20" x14ac:dyDescent="0.25">
      <c r="N228">
        <v>216</v>
      </c>
      <c r="O228" s="1">
        <f t="shared" ca="1" si="6"/>
        <v>16.461094321437244</v>
      </c>
      <c r="P228" s="21">
        <f t="shared" ca="1" si="7"/>
        <v>499.9545304134424</v>
      </c>
      <c r="Q228">
        <v>75</v>
      </c>
      <c r="R228">
        <v>90</v>
      </c>
      <c r="S228">
        <v>11.020542806941069</v>
      </c>
      <c r="T228" s="21">
        <v>246.73986143241623</v>
      </c>
    </row>
    <row r="229" spans="14:20" x14ac:dyDescent="0.25">
      <c r="N229">
        <v>208</v>
      </c>
      <c r="O229" s="1">
        <f t="shared" ca="1" si="6"/>
        <v>16.471149427667331</v>
      </c>
      <c r="P229" s="21">
        <f t="shared" ca="1" si="7"/>
        <v>500.46150048813695</v>
      </c>
      <c r="Q229">
        <v>73</v>
      </c>
      <c r="R229">
        <v>88</v>
      </c>
      <c r="S229">
        <v>11.12936888716847</v>
      </c>
      <c r="T229" s="21">
        <v>240.41319831876453</v>
      </c>
    </row>
    <row r="230" spans="14:20" x14ac:dyDescent="0.25">
      <c r="N230">
        <v>200</v>
      </c>
      <c r="O230" s="1">
        <f t="shared" ca="1" si="6"/>
        <v>16.545576506731638</v>
      </c>
      <c r="P230" s="21">
        <f t="shared" ca="1" si="7"/>
        <v>499.81783503400152</v>
      </c>
      <c r="Q230">
        <v>71</v>
      </c>
      <c r="R230">
        <v>86</v>
      </c>
      <c r="S230">
        <v>11.243192219957796</v>
      </c>
      <c r="T230" s="21">
        <v>234.0856261147143</v>
      </c>
    </row>
    <row r="231" spans="14:20" x14ac:dyDescent="0.25">
      <c r="N231">
        <v>192</v>
      </c>
      <c r="O231" s="1">
        <f t="shared" ca="1" si="6"/>
        <v>16.48846875916939</v>
      </c>
      <c r="P231" s="21">
        <f t="shared" ca="1" si="7"/>
        <v>499.84761383634304</v>
      </c>
      <c r="Q231">
        <v>73</v>
      </c>
      <c r="R231">
        <v>88</v>
      </c>
      <c r="S231">
        <v>11.168642631966984</v>
      </c>
      <c r="T231" s="21">
        <v>240.41417752243657</v>
      </c>
    </row>
    <row r="232" spans="14:20" x14ac:dyDescent="0.25">
      <c r="N232">
        <v>184</v>
      </c>
      <c r="O232" s="1">
        <f t="shared" ca="1" si="6"/>
        <v>16.48548200874027</v>
      </c>
      <c r="P232" s="21">
        <f t="shared" ca="1" si="7"/>
        <v>500.06439334842463</v>
      </c>
      <c r="Q232">
        <v>75</v>
      </c>
      <c r="R232">
        <v>90</v>
      </c>
      <c r="S232">
        <v>11.044613514113809</v>
      </c>
      <c r="T232" s="21">
        <v>246.74177549870723</v>
      </c>
    </row>
    <row r="233" spans="14:20" x14ac:dyDescent="0.25">
      <c r="N233">
        <v>176</v>
      </c>
      <c r="O233" s="1">
        <f t="shared" ca="1" si="6"/>
        <v>16.50037860539884</v>
      </c>
      <c r="P233" s="21">
        <f t="shared" ca="1" si="7"/>
        <v>500.27239463214772</v>
      </c>
      <c r="Q233">
        <v>73</v>
      </c>
      <c r="R233">
        <v>88</v>
      </c>
      <c r="S233">
        <v>11.176133008481807</v>
      </c>
      <c r="T233" s="21">
        <v>240.41506330643267</v>
      </c>
    </row>
    <row r="234" spans="14:20" x14ac:dyDescent="0.25">
      <c r="N234">
        <v>168</v>
      </c>
      <c r="O234" s="1">
        <f t="shared" ca="1" si="6"/>
        <v>16.527181392460832</v>
      </c>
      <c r="P234" s="21">
        <f t="shared" ca="1" si="7"/>
        <v>500.37887001921808</v>
      </c>
      <c r="Q234">
        <v>75</v>
      </c>
      <c r="R234">
        <v>90</v>
      </c>
      <c r="S234">
        <v>11.057697850809831</v>
      </c>
      <c r="T234" s="21">
        <v>246.74268459615794</v>
      </c>
    </row>
    <row r="235" spans="14:20" x14ac:dyDescent="0.25">
      <c r="N235">
        <v>160</v>
      </c>
      <c r="O235" s="1">
        <f t="shared" ca="1" si="6"/>
        <v>16.456138375748214</v>
      </c>
      <c r="P235" s="21">
        <f t="shared" ca="1" si="7"/>
        <v>499.89857152425026</v>
      </c>
      <c r="Q235">
        <v>73</v>
      </c>
      <c r="R235">
        <v>88</v>
      </c>
      <c r="S235">
        <v>11.126741029666713</v>
      </c>
      <c r="T235" s="21">
        <v>240.41594909369235</v>
      </c>
    </row>
    <row r="236" spans="14:20" x14ac:dyDescent="0.25">
      <c r="N236">
        <v>152</v>
      </c>
      <c r="O236" s="1">
        <f t="shared" ca="1" si="6"/>
        <v>16.483788235209154</v>
      </c>
      <c r="P236" s="21">
        <f t="shared" ca="1" si="7"/>
        <v>499.84960993874341</v>
      </c>
      <c r="Q236">
        <v>71</v>
      </c>
      <c r="R236">
        <v>86</v>
      </c>
      <c r="S236">
        <v>11.211257631503964</v>
      </c>
      <c r="T236" s="21">
        <v>234.08830449042654</v>
      </c>
    </row>
    <row r="237" spans="14:20" x14ac:dyDescent="0.25">
      <c r="N237">
        <v>144</v>
      </c>
      <c r="O237" s="1">
        <f t="shared" ca="1" si="6"/>
        <v>16.516588130327321</v>
      </c>
      <c r="P237" s="21">
        <f t="shared" ca="1" si="7"/>
        <v>499.96290085112821</v>
      </c>
      <c r="Q237">
        <v>73</v>
      </c>
      <c r="R237">
        <v>88</v>
      </c>
      <c r="S237">
        <v>11.163578425264966</v>
      </c>
      <c r="T237" s="21">
        <v>240.41692830856829</v>
      </c>
    </row>
    <row r="238" spans="14:20" x14ac:dyDescent="0.25">
      <c r="N238">
        <v>136</v>
      </c>
      <c r="O238" s="1">
        <f t="shared" ca="1" si="6"/>
        <v>16.517055225051912</v>
      </c>
      <c r="P238" s="21">
        <f t="shared" ca="1" si="7"/>
        <v>499.65765299459997</v>
      </c>
      <c r="Q238">
        <v>75</v>
      </c>
      <c r="R238">
        <v>90</v>
      </c>
      <c r="S238">
        <v>11.049379033202399</v>
      </c>
      <c r="T238" s="21">
        <v>246.7445986843494</v>
      </c>
    </row>
    <row r="239" spans="14:20" x14ac:dyDescent="0.25">
      <c r="N239">
        <v>128</v>
      </c>
      <c r="O239" s="1">
        <f t="shared" ca="1" si="6"/>
        <v>16.524695063005051</v>
      </c>
      <c r="P239" s="21">
        <f t="shared" ca="1" si="7"/>
        <v>500.22768688795793</v>
      </c>
      <c r="Q239">
        <v>73</v>
      </c>
      <c r="R239">
        <v>88</v>
      </c>
      <c r="S239">
        <v>11.147302981184282</v>
      </c>
      <c r="T239" s="21">
        <v>240.4178141026994</v>
      </c>
    </row>
    <row r="240" spans="14:20" x14ac:dyDescent="0.25">
      <c r="N240">
        <v>120</v>
      </c>
      <c r="O240" s="1">
        <f t="shared" ca="1" si="6"/>
        <v>16.488099092925541</v>
      </c>
      <c r="P240" s="21">
        <f t="shared" ca="1" si="7"/>
        <v>499.83003816343881</v>
      </c>
      <c r="Q240">
        <v>71</v>
      </c>
      <c r="R240">
        <v>86</v>
      </c>
      <c r="S240">
        <v>11.218740138839937</v>
      </c>
      <c r="T240" s="21">
        <v>234.0901204131969</v>
      </c>
    </row>
    <row r="241" spans="14:20" x14ac:dyDescent="0.25">
      <c r="N241">
        <v>112</v>
      </c>
      <c r="O241" s="1">
        <f t="shared" ca="1" si="6"/>
        <v>16.496483500442856</v>
      </c>
      <c r="P241" s="21">
        <f t="shared" ca="1" si="7"/>
        <v>499.9634314795407</v>
      </c>
      <c r="Q241">
        <v>73</v>
      </c>
      <c r="R241">
        <v>88</v>
      </c>
      <c r="S241">
        <v>11.108431660137322</v>
      </c>
      <c r="T241" s="21">
        <v>240.41879332517152</v>
      </c>
    </row>
    <row r="242" spans="14:20" x14ac:dyDescent="0.25">
      <c r="N242">
        <v>104</v>
      </c>
      <c r="O242" s="1">
        <f t="shared" ca="1" si="6"/>
        <v>16.536638142510949</v>
      </c>
      <c r="P242" s="21">
        <f t="shared" ca="1" si="7"/>
        <v>500.37679755377178</v>
      </c>
      <c r="Q242">
        <v>71</v>
      </c>
      <c r="R242">
        <v>86</v>
      </c>
      <c r="S242">
        <v>11.252689594013221</v>
      </c>
      <c r="T242" s="21">
        <v>234.09107386295381</v>
      </c>
    </row>
    <row r="243" spans="14:20" x14ac:dyDescent="0.25">
      <c r="N243">
        <v>96</v>
      </c>
      <c r="O243" s="1">
        <f t="shared" ca="1" si="6"/>
        <v>16.502533258155889</v>
      </c>
      <c r="P243" s="21">
        <f t="shared" ca="1" si="7"/>
        <v>499.75999956278065</v>
      </c>
      <c r="Q243">
        <v>73</v>
      </c>
      <c r="R243">
        <v>88</v>
      </c>
      <c r="S243">
        <v>11.138703220017382</v>
      </c>
      <c r="T243" s="21">
        <v>240.41977255163204</v>
      </c>
    </row>
    <row r="244" spans="14:20" x14ac:dyDescent="0.25">
      <c r="N244">
        <v>88</v>
      </c>
      <c r="O244" s="1">
        <f t="shared" ca="1" si="6"/>
        <v>16.531794999516169</v>
      </c>
      <c r="P244" s="21">
        <f t="shared" ca="1" si="7"/>
        <v>499.92862057155224</v>
      </c>
      <c r="Q244">
        <v>71</v>
      </c>
      <c r="R244">
        <v>86</v>
      </c>
      <c r="S244">
        <v>11.273640153059636</v>
      </c>
      <c r="T244" s="21">
        <v>234.09202731659414</v>
      </c>
    </row>
    <row r="245" spans="14:20" x14ac:dyDescent="0.25">
      <c r="N245">
        <v>80</v>
      </c>
      <c r="O245" s="1">
        <f t="shared" ca="1" si="6"/>
        <v>16.497724847935899</v>
      </c>
      <c r="P245" s="21">
        <f t="shared" ca="1" si="7"/>
        <v>500.34792837155703</v>
      </c>
      <c r="Q245">
        <v>73</v>
      </c>
      <c r="R245">
        <v>88</v>
      </c>
      <c r="S245">
        <v>11.175745197569681</v>
      </c>
      <c r="T245" s="21">
        <v>240.42075178208094</v>
      </c>
    </row>
    <row r="246" spans="14:20" x14ac:dyDescent="0.25">
      <c r="N246">
        <v>72</v>
      </c>
      <c r="O246" s="1">
        <f t="shared" ca="1" si="6"/>
        <v>16.513628153687147</v>
      </c>
      <c r="P246" s="21">
        <f t="shared" ca="1" si="7"/>
        <v>499.83196919198969</v>
      </c>
      <c r="Q246">
        <v>75</v>
      </c>
      <c r="R246">
        <v>90</v>
      </c>
      <c r="S246">
        <v>11.031531303577845</v>
      </c>
      <c r="T246" s="21">
        <v>246.74852279004401</v>
      </c>
    </row>
    <row r="247" spans="14:20" x14ac:dyDescent="0.25">
      <c r="N247">
        <v>64</v>
      </c>
      <c r="O247" s="1">
        <f t="shared" ca="1" si="6"/>
        <v>16.479203698193768</v>
      </c>
      <c r="P247" s="21">
        <f t="shared" ca="1" si="7"/>
        <v>499.8758139538711</v>
      </c>
      <c r="Q247">
        <v>73</v>
      </c>
      <c r="R247">
        <v>88</v>
      </c>
      <c r="S247">
        <v>11.120333182947332</v>
      </c>
      <c r="T247" s="21">
        <v>240.42163759029927</v>
      </c>
    </row>
    <row r="248" spans="14:20" x14ac:dyDescent="0.25">
      <c r="N248">
        <v>56</v>
      </c>
      <c r="O248" s="1">
        <f t="shared" ca="1" si="6"/>
        <v>16.468650424382478</v>
      </c>
      <c r="P248" s="21">
        <f t="shared" ca="1" si="7"/>
        <v>500.27945761592395</v>
      </c>
      <c r="Q248">
        <v>71</v>
      </c>
      <c r="R248">
        <v>86</v>
      </c>
      <c r="S248">
        <v>11.208316640039648</v>
      </c>
      <c r="T248" s="21">
        <v>234.09384326824403</v>
      </c>
    </row>
    <row r="249" spans="14:20" x14ac:dyDescent="0.25">
      <c r="N249">
        <v>48</v>
      </c>
      <c r="O249" s="1">
        <f t="shared" ca="1" si="6"/>
        <v>16.458077197561632</v>
      </c>
      <c r="P249" s="21">
        <f t="shared" ca="1" si="7"/>
        <v>499.9860749164834</v>
      </c>
      <c r="Q249">
        <v>73</v>
      </c>
      <c r="R249">
        <v>88</v>
      </c>
      <c r="S249">
        <v>11.113134668247675</v>
      </c>
      <c r="T249" s="21">
        <v>240.42261682834447</v>
      </c>
    </row>
    <row r="250" spans="14:20" x14ac:dyDescent="0.25">
      <c r="N250">
        <v>40</v>
      </c>
      <c r="O250" s="1">
        <f t="shared" ca="1" si="6"/>
        <v>16.522985909427284</v>
      </c>
      <c r="P250" s="21">
        <f t="shared" ca="1" si="7"/>
        <v>500.49824034077886</v>
      </c>
      <c r="Q250">
        <v>71</v>
      </c>
      <c r="R250">
        <v>86</v>
      </c>
      <c r="S250">
        <v>11.232149420234677</v>
      </c>
      <c r="T250" s="21">
        <v>234.09479673316415</v>
      </c>
    </row>
    <row r="251" spans="14:20" x14ac:dyDescent="0.25">
      <c r="N251">
        <v>32</v>
      </c>
      <c r="O251" s="1">
        <f t="shared" ca="1" si="6"/>
        <v>16.46474985562606</v>
      </c>
      <c r="P251" s="21">
        <f t="shared" ca="1" si="7"/>
        <v>500.03320068889604</v>
      </c>
      <c r="Q251">
        <v>73</v>
      </c>
      <c r="R251">
        <v>88</v>
      </c>
      <c r="S251">
        <v>11.128462428065106</v>
      </c>
      <c r="T251" s="21">
        <v>240.42359607037812</v>
      </c>
    </row>
    <row r="252" spans="14:20" x14ac:dyDescent="0.25">
      <c r="N252">
        <v>24</v>
      </c>
      <c r="O252" s="1">
        <f t="shared" ca="1" si="6"/>
        <v>16.519156609751576</v>
      </c>
      <c r="P252" s="21">
        <f t="shared" ca="1" si="7"/>
        <v>499.73879178310517</v>
      </c>
      <c r="Q252">
        <v>71</v>
      </c>
      <c r="R252">
        <v>86</v>
      </c>
      <c r="S252">
        <v>11.218996454281418</v>
      </c>
      <c r="T252" s="21">
        <v>234.09575020196772</v>
      </c>
    </row>
    <row r="253" spans="14:20" x14ac:dyDescent="0.25">
      <c r="N253">
        <v>16</v>
      </c>
      <c r="O253" s="1">
        <f t="shared" ca="1" si="6"/>
        <v>16.548047927700321</v>
      </c>
      <c r="P253" s="21">
        <f t="shared" ca="1" si="7"/>
        <v>499.64912024208172</v>
      </c>
      <c r="Q253">
        <v>73</v>
      </c>
      <c r="R253">
        <v>88</v>
      </c>
      <c r="S253">
        <v>11.152431924988472</v>
      </c>
      <c r="T253" s="21">
        <v>240.42457531640022</v>
      </c>
    </row>
    <row r="254" spans="14:20" x14ac:dyDescent="0.25">
      <c r="N254">
        <v>8</v>
      </c>
      <c r="O254" s="1">
        <f t="shared" ca="1" si="6"/>
        <v>16.538216954500196</v>
      </c>
      <c r="P254" s="21">
        <f t="shared" ca="1" si="7"/>
        <v>500.22942281960871</v>
      </c>
      <c r="Q254">
        <v>75</v>
      </c>
      <c r="R254">
        <v>90</v>
      </c>
      <c r="S254">
        <v>11.032349954474524</v>
      </c>
      <c r="T254" s="21">
        <v>246.75244695814567</v>
      </c>
    </row>
    <row r="255" spans="14:20" x14ac:dyDescent="0.25">
      <c r="N255">
        <v>0</v>
      </c>
      <c r="O255" s="1">
        <f t="shared" ca="1" si="6"/>
        <v>16.490636796401503</v>
      </c>
      <c r="P255" s="21">
        <f t="shared" ca="1" si="7"/>
        <v>500.4607062180927</v>
      </c>
      <c r="Q255">
        <v>73</v>
      </c>
      <c r="R255">
        <v>88</v>
      </c>
      <c r="S255">
        <v>11.110511724778076</v>
      </c>
      <c r="T255" s="21">
        <v>240.42546113870603</v>
      </c>
    </row>
    <row r="256" spans="14:20" x14ac:dyDescent="0.25">
      <c r="S256" s="1"/>
      <c r="T256" s="21"/>
    </row>
    <row r="257" spans="19:20" x14ac:dyDescent="0.25">
      <c r="S257" s="1"/>
      <c r="T257" s="21"/>
    </row>
    <row r="258" spans="19:20" x14ac:dyDescent="0.25">
      <c r="S258" s="1"/>
      <c r="T258" s="21"/>
    </row>
    <row r="259" spans="19:20" x14ac:dyDescent="0.25">
      <c r="S259" s="1"/>
      <c r="T259" s="21"/>
    </row>
    <row r="260" spans="19:20" x14ac:dyDescent="0.25">
      <c r="S260" s="1"/>
      <c r="T260" s="21"/>
    </row>
    <row r="261" spans="19:20" x14ac:dyDescent="0.25">
      <c r="S261" s="1"/>
      <c r="T261" s="21"/>
    </row>
    <row r="262" spans="19:20" x14ac:dyDescent="0.25">
      <c r="S262" s="1"/>
      <c r="T262" s="21"/>
    </row>
    <row r="263" spans="19:20" x14ac:dyDescent="0.25">
      <c r="S263" s="1"/>
    </row>
    <row r="264" spans="19:20" x14ac:dyDescent="0.25">
      <c r="S264" s="1"/>
    </row>
    <row r="265" spans="19:20" x14ac:dyDescent="0.25">
      <c r="S265" s="1"/>
    </row>
    <row r="266" spans="19:20" x14ac:dyDescent="0.25">
      <c r="S266" s="1"/>
    </row>
    <row r="267" spans="19:20" x14ac:dyDescent="0.25">
      <c r="S267" s="1"/>
    </row>
    <row r="268" spans="19:20" x14ac:dyDescent="0.25">
      <c r="S268" s="1"/>
    </row>
    <row r="269" spans="19:20" x14ac:dyDescent="0.25">
      <c r="S269" s="1"/>
    </row>
    <row r="270" spans="19:20" x14ac:dyDescent="0.25">
      <c r="S270" s="1"/>
    </row>
    <row r="271" spans="19:20" x14ac:dyDescent="0.25">
      <c r="S271" s="1"/>
    </row>
    <row r="272" spans="19:20" x14ac:dyDescent="0.25">
      <c r="S272" s="1"/>
    </row>
    <row r="273" spans="19:19" x14ac:dyDescent="0.25">
      <c r="S273" s="1"/>
    </row>
    <row r="274" spans="19:19" x14ac:dyDescent="0.25">
      <c r="S274" s="1"/>
    </row>
    <row r="275" spans="19:19" x14ac:dyDescent="0.25">
      <c r="S275" s="1"/>
    </row>
    <row r="276" spans="19:19" x14ac:dyDescent="0.25">
      <c r="S276" s="1"/>
    </row>
    <row r="277" spans="19:19" x14ac:dyDescent="0.25">
      <c r="S277" s="1"/>
    </row>
    <row r="278" spans="19:19" x14ac:dyDescent="0.25">
      <c r="S278" s="1"/>
    </row>
    <row r="279" spans="19:19" x14ac:dyDescent="0.25">
      <c r="S279" s="1"/>
    </row>
    <row r="280" spans="19:19" x14ac:dyDescent="0.25">
      <c r="S280" s="1"/>
    </row>
    <row r="281" spans="19:19" x14ac:dyDescent="0.25">
      <c r="S281" s="1"/>
    </row>
    <row r="282" spans="19:19" x14ac:dyDescent="0.25">
      <c r="S282" s="1"/>
    </row>
    <row r="283" spans="19:19" x14ac:dyDescent="0.25">
      <c r="S283" s="1"/>
    </row>
    <row r="284" spans="19:19" x14ac:dyDescent="0.25">
      <c r="S284" s="1"/>
    </row>
    <row r="285" spans="19:19" x14ac:dyDescent="0.25">
      <c r="S285" s="1"/>
    </row>
    <row r="286" spans="19:19" x14ac:dyDescent="0.25">
      <c r="S286" s="1"/>
    </row>
    <row r="287" spans="19:19" x14ac:dyDescent="0.25">
      <c r="S287" s="1"/>
    </row>
    <row r="288" spans="19:19" x14ac:dyDescent="0.25">
      <c r="S288" s="1"/>
    </row>
    <row r="289" spans="19:19" x14ac:dyDescent="0.25">
      <c r="S289" s="1"/>
    </row>
    <row r="290" spans="19:19" x14ac:dyDescent="0.25">
      <c r="S290" s="1"/>
    </row>
    <row r="291" spans="19:19" x14ac:dyDescent="0.25">
      <c r="S291" s="1"/>
    </row>
    <row r="292" spans="19:19" x14ac:dyDescent="0.25">
      <c r="S292" s="1"/>
    </row>
    <row r="293" spans="19:19" x14ac:dyDescent="0.25">
      <c r="S293" s="1"/>
    </row>
    <row r="294" spans="19:19" x14ac:dyDescent="0.25">
      <c r="S294" s="1"/>
    </row>
    <row r="295" spans="19:19" x14ac:dyDescent="0.25">
      <c r="S295" s="1"/>
    </row>
    <row r="296" spans="19:19" x14ac:dyDescent="0.25">
      <c r="S296" s="1"/>
    </row>
    <row r="297" spans="19:19" x14ac:dyDescent="0.25">
      <c r="S297" s="1"/>
    </row>
    <row r="298" spans="19:19" x14ac:dyDescent="0.25">
      <c r="S298" s="1"/>
    </row>
    <row r="299" spans="19:19" x14ac:dyDescent="0.25">
      <c r="S299" s="1"/>
    </row>
    <row r="300" spans="19:19" x14ac:dyDescent="0.25">
      <c r="S300" s="1"/>
    </row>
    <row r="301" spans="19:19" x14ac:dyDescent="0.25">
      <c r="S301" s="1"/>
    </row>
    <row r="302" spans="19:19" x14ac:dyDescent="0.25">
      <c r="S302" s="1"/>
    </row>
    <row r="303" spans="19:19" x14ac:dyDescent="0.25">
      <c r="S303" s="1"/>
    </row>
    <row r="304" spans="19:19" x14ac:dyDescent="0.25">
      <c r="S304" s="1"/>
    </row>
    <row r="305" spans="19:19" x14ac:dyDescent="0.25">
      <c r="S305" s="1"/>
    </row>
    <row r="306" spans="19:19" x14ac:dyDescent="0.25">
      <c r="S306" s="1"/>
    </row>
    <row r="307" spans="19:19" x14ac:dyDescent="0.25">
      <c r="S307" s="1"/>
    </row>
    <row r="308" spans="19:19" x14ac:dyDescent="0.25">
      <c r="S308" s="1"/>
    </row>
    <row r="309" spans="19:19" x14ac:dyDescent="0.25">
      <c r="S309" s="1"/>
    </row>
    <row r="310" spans="19:19" x14ac:dyDescent="0.25">
      <c r="S310" s="1"/>
    </row>
    <row r="311" spans="19:19" x14ac:dyDescent="0.25">
      <c r="S311" s="1"/>
    </row>
    <row r="312" spans="19:19" x14ac:dyDescent="0.25">
      <c r="S312" s="1"/>
    </row>
    <row r="313" spans="19:19" x14ac:dyDescent="0.25">
      <c r="S313" s="1"/>
    </row>
    <row r="314" spans="19:19" x14ac:dyDescent="0.25">
      <c r="S314" s="1"/>
    </row>
    <row r="315" spans="19:19" x14ac:dyDescent="0.25">
      <c r="S315" s="1"/>
    </row>
    <row r="316" spans="19:19" x14ac:dyDescent="0.25">
      <c r="S316" s="1"/>
    </row>
    <row r="317" spans="19:19" x14ac:dyDescent="0.25">
      <c r="S317" s="1"/>
    </row>
    <row r="318" spans="19:19" x14ac:dyDescent="0.25">
      <c r="S318" s="1"/>
    </row>
    <row r="319" spans="19:19" x14ac:dyDescent="0.25">
      <c r="S319" s="1"/>
    </row>
    <row r="320" spans="19:19" x14ac:dyDescent="0.25">
      <c r="S320" s="1"/>
    </row>
    <row r="321" spans="19:19" x14ac:dyDescent="0.25">
      <c r="S321" s="1"/>
    </row>
    <row r="322" spans="19:19" x14ac:dyDescent="0.25">
      <c r="S322" s="1"/>
    </row>
    <row r="323" spans="19:19" x14ac:dyDescent="0.25">
      <c r="S323" s="1"/>
    </row>
    <row r="324" spans="19:19" x14ac:dyDescent="0.25">
      <c r="S324" s="1"/>
    </row>
    <row r="325" spans="19:19" x14ac:dyDescent="0.25">
      <c r="S325" s="1"/>
    </row>
    <row r="326" spans="19:19" x14ac:dyDescent="0.25">
      <c r="S326" s="1"/>
    </row>
    <row r="327" spans="19:19" x14ac:dyDescent="0.25">
      <c r="S327" s="1"/>
    </row>
    <row r="328" spans="19:19" x14ac:dyDescent="0.25">
      <c r="S328" s="1"/>
    </row>
    <row r="329" spans="19:19" x14ac:dyDescent="0.25">
      <c r="S329" s="1"/>
    </row>
    <row r="330" spans="19:19" x14ac:dyDescent="0.25">
      <c r="S330" s="1"/>
    </row>
    <row r="331" spans="19:19" x14ac:dyDescent="0.25">
      <c r="S331" s="1"/>
    </row>
    <row r="332" spans="19:19" x14ac:dyDescent="0.25">
      <c r="S332" s="1"/>
    </row>
    <row r="333" spans="19:19" x14ac:dyDescent="0.25">
      <c r="S333" s="1"/>
    </row>
    <row r="334" spans="19:19" x14ac:dyDescent="0.25">
      <c r="S334" s="1"/>
    </row>
    <row r="335" spans="19:19" x14ac:dyDescent="0.25">
      <c r="S335" s="1"/>
    </row>
    <row r="336" spans="19:19" x14ac:dyDescent="0.25">
      <c r="S336" s="1"/>
    </row>
    <row r="337" spans="19:19" x14ac:dyDescent="0.25">
      <c r="S337" s="1"/>
    </row>
    <row r="338" spans="19:19" x14ac:dyDescent="0.25">
      <c r="S338" s="1"/>
    </row>
    <row r="339" spans="19:19" x14ac:dyDescent="0.25">
      <c r="S339" s="1"/>
    </row>
    <row r="340" spans="19:19" x14ac:dyDescent="0.25">
      <c r="S340" s="1"/>
    </row>
    <row r="341" spans="19:19" x14ac:dyDescent="0.25">
      <c r="S341" s="1"/>
    </row>
    <row r="342" spans="19:19" x14ac:dyDescent="0.25">
      <c r="S342" s="1"/>
    </row>
    <row r="343" spans="19:19" x14ac:dyDescent="0.25">
      <c r="S343" s="1"/>
    </row>
    <row r="344" spans="19:19" x14ac:dyDescent="0.25">
      <c r="S344" s="1"/>
    </row>
    <row r="345" spans="19:19" x14ac:dyDescent="0.25">
      <c r="S345" s="1"/>
    </row>
    <row r="346" spans="19:19" x14ac:dyDescent="0.25">
      <c r="S346" s="1"/>
    </row>
    <row r="347" spans="19:19" x14ac:dyDescent="0.25">
      <c r="S347" s="1"/>
    </row>
    <row r="348" spans="19:19" x14ac:dyDescent="0.25">
      <c r="S348" s="1"/>
    </row>
    <row r="349" spans="19:19" x14ac:dyDescent="0.25">
      <c r="S349" s="1"/>
    </row>
    <row r="350" spans="19:19" x14ac:dyDescent="0.25">
      <c r="S350" s="1"/>
    </row>
    <row r="351" spans="19:19" x14ac:dyDescent="0.25">
      <c r="S351" s="1"/>
    </row>
    <row r="352" spans="19:19" x14ac:dyDescent="0.25">
      <c r="S352" s="1"/>
    </row>
    <row r="353" spans="19:19" x14ac:dyDescent="0.25">
      <c r="S353" s="1"/>
    </row>
    <row r="354" spans="19:19" x14ac:dyDescent="0.25">
      <c r="S354" s="1"/>
    </row>
    <row r="355" spans="19:19" x14ac:dyDescent="0.25">
      <c r="S355" s="1"/>
    </row>
    <row r="356" spans="19:19" x14ac:dyDescent="0.25">
      <c r="S356" s="1"/>
    </row>
    <row r="357" spans="19:19" x14ac:dyDescent="0.25">
      <c r="S357" s="1"/>
    </row>
    <row r="358" spans="19:19" x14ac:dyDescent="0.25">
      <c r="S358" s="1"/>
    </row>
    <row r="359" spans="19:19" x14ac:dyDescent="0.25">
      <c r="S359" s="1"/>
    </row>
    <row r="360" spans="19:19" x14ac:dyDescent="0.25">
      <c r="S360" s="1"/>
    </row>
    <row r="361" spans="19:19" x14ac:dyDescent="0.25">
      <c r="S361" s="1"/>
    </row>
    <row r="362" spans="19:19" x14ac:dyDescent="0.25">
      <c r="S362" s="1"/>
    </row>
    <row r="363" spans="19:19" x14ac:dyDescent="0.25">
      <c r="S363" s="1"/>
    </row>
    <row r="364" spans="19:19" x14ac:dyDescent="0.25">
      <c r="S364" s="1"/>
    </row>
    <row r="365" spans="19:19" x14ac:dyDescent="0.25">
      <c r="S365" s="1"/>
    </row>
    <row r="366" spans="19:19" x14ac:dyDescent="0.25">
      <c r="S366" s="1"/>
    </row>
    <row r="367" spans="19:19" x14ac:dyDescent="0.25">
      <c r="S367" s="1"/>
    </row>
    <row r="368" spans="19:19" x14ac:dyDescent="0.25">
      <c r="S368" s="1"/>
    </row>
    <row r="369" spans="19:19" x14ac:dyDescent="0.25">
      <c r="S369" s="1"/>
    </row>
    <row r="370" spans="19:19" x14ac:dyDescent="0.25">
      <c r="S370" s="1"/>
    </row>
    <row r="371" spans="19:19" x14ac:dyDescent="0.25">
      <c r="S371" s="1"/>
    </row>
    <row r="372" spans="19:19" x14ac:dyDescent="0.25">
      <c r="S372" s="1"/>
    </row>
    <row r="373" spans="19:19" x14ac:dyDescent="0.25">
      <c r="S373" s="1"/>
    </row>
    <row r="374" spans="19:19" x14ac:dyDescent="0.25">
      <c r="S374" s="1"/>
    </row>
    <row r="375" spans="19:19" x14ac:dyDescent="0.25">
      <c r="S375" s="1"/>
    </row>
    <row r="376" spans="19:19" x14ac:dyDescent="0.25">
      <c r="S376" s="1"/>
    </row>
    <row r="377" spans="19:19" x14ac:dyDescent="0.25">
      <c r="S377" s="1"/>
    </row>
    <row r="378" spans="19:19" x14ac:dyDescent="0.25">
      <c r="S378" s="1"/>
    </row>
    <row r="379" spans="19:19" x14ac:dyDescent="0.25">
      <c r="S379" s="1"/>
    </row>
    <row r="380" spans="19:19" x14ac:dyDescent="0.25">
      <c r="S380" s="1"/>
    </row>
    <row r="381" spans="19:19" x14ac:dyDescent="0.25">
      <c r="S381" s="1"/>
    </row>
    <row r="382" spans="19:19" x14ac:dyDescent="0.25">
      <c r="S382" s="1"/>
    </row>
    <row r="383" spans="19:19" x14ac:dyDescent="0.25">
      <c r="S383" s="1"/>
    </row>
    <row r="384" spans="19:19" x14ac:dyDescent="0.25">
      <c r="S384" s="1"/>
    </row>
    <row r="385" spans="19:19" x14ac:dyDescent="0.25">
      <c r="S385" s="1"/>
    </row>
    <row r="386" spans="19:19" x14ac:dyDescent="0.25">
      <c r="S386" s="1"/>
    </row>
    <row r="387" spans="19:19" x14ac:dyDescent="0.25">
      <c r="S387" s="1"/>
    </row>
    <row r="388" spans="19:19" x14ac:dyDescent="0.25">
      <c r="S388" s="1"/>
    </row>
    <row r="389" spans="19:19" x14ac:dyDescent="0.25">
      <c r="S389" s="1"/>
    </row>
    <row r="390" spans="19:19" x14ac:dyDescent="0.25">
      <c r="S390" s="1"/>
    </row>
    <row r="391" spans="19:19" x14ac:dyDescent="0.25">
      <c r="S391" s="1"/>
    </row>
    <row r="392" spans="19:19" x14ac:dyDescent="0.25">
      <c r="S392" s="1"/>
    </row>
    <row r="393" spans="19:19" x14ac:dyDescent="0.25">
      <c r="S393" s="1"/>
    </row>
    <row r="394" spans="19:19" x14ac:dyDescent="0.25">
      <c r="S394" s="1"/>
    </row>
    <row r="395" spans="19:19" x14ac:dyDescent="0.25">
      <c r="S395" s="1"/>
    </row>
    <row r="396" spans="19:19" x14ac:dyDescent="0.25">
      <c r="S396" s="1"/>
    </row>
    <row r="397" spans="19:19" x14ac:dyDescent="0.25">
      <c r="S397" s="1"/>
    </row>
    <row r="398" spans="19:19" x14ac:dyDescent="0.25">
      <c r="S398" s="1"/>
    </row>
    <row r="399" spans="19:19" x14ac:dyDescent="0.25">
      <c r="S399" s="1"/>
    </row>
    <row r="400" spans="19:19" x14ac:dyDescent="0.25">
      <c r="S400" s="1"/>
    </row>
    <row r="401" spans="19:19" x14ac:dyDescent="0.25">
      <c r="S401" s="1"/>
    </row>
    <row r="402" spans="19:19" x14ac:dyDescent="0.25">
      <c r="S402" s="1"/>
    </row>
    <row r="403" spans="19:19" x14ac:dyDescent="0.25">
      <c r="S403" s="1"/>
    </row>
    <row r="404" spans="19:19" x14ac:dyDescent="0.25">
      <c r="S404" s="1"/>
    </row>
    <row r="405" spans="19:19" x14ac:dyDescent="0.25">
      <c r="S405" s="1"/>
    </row>
    <row r="406" spans="19:19" x14ac:dyDescent="0.25">
      <c r="S406" s="1"/>
    </row>
    <row r="407" spans="19:19" x14ac:dyDescent="0.25">
      <c r="S407" s="1"/>
    </row>
    <row r="408" spans="19:19" x14ac:dyDescent="0.25">
      <c r="S408" s="1"/>
    </row>
    <row r="409" spans="19:19" x14ac:dyDescent="0.25">
      <c r="S409" s="1"/>
    </row>
    <row r="410" spans="19:19" x14ac:dyDescent="0.25">
      <c r="S410" s="1"/>
    </row>
    <row r="411" spans="19:19" x14ac:dyDescent="0.25">
      <c r="S411" s="1"/>
    </row>
    <row r="412" spans="19:19" x14ac:dyDescent="0.25">
      <c r="S412" s="1"/>
    </row>
    <row r="413" spans="19:19" x14ac:dyDescent="0.25">
      <c r="S413" s="1"/>
    </row>
    <row r="414" spans="19:19" x14ac:dyDescent="0.25">
      <c r="S414" s="1"/>
    </row>
    <row r="415" spans="19:19" x14ac:dyDescent="0.25">
      <c r="S415" s="1"/>
    </row>
    <row r="416" spans="19:19" x14ac:dyDescent="0.25">
      <c r="S416" s="1"/>
    </row>
    <row r="417" spans="19:19" x14ac:dyDescent="0.25">
      <c r="S417" s="1"/>
    </row>
    <row r="418" spans="19:19" x14ac:dyDescent="0.25">
      <c r="S418" s="1"/>
    </row>
    <row r="419" spans="19:19" x14ac:dyDescent="0.25">
      <c r="S419" s="1"/>
    </row>
    <row r="420" spans="19:19" x14ac:dyDescent="0.25">
      <c r="S420" s="1"/>
    </row>
    <row r="421" spans="19:19" x14ac:dyDescent="0.25">
      <c r="S421" s="1"/>
    </row>
    <row r="422" spans="19:19" x14ac:dyDescent="0.25">
      <c r="S422" s="1"/>
    </row>
    <row r="423" spans="19:19" x14ac:dyDescent="0.25">
      <c r="S423" s="1"/>
    </row>
    <row r="424" spans="19:19" x14ac:dyDescent="0.25">
      <c r="S424" s="1"/>
    </row>
    <row r="425" spans="19:19" x14ac:dyDescent="0.25">
      <c r="S425" s="1"/>
    </row>
    <row r="426" spans="19:19" x14ac:dyDescent="0.25">
      <c r="S426" s="1"/>
    </row>
    <row r="427" spans="19:19" x14ac:dyDescent="0.25">
      <c r="S427" s="1"/>
    </row>
    <row r="428" spans="19:19" x14ac:dyDescent="0.25">
      <c r="S428" s="1"/>
    </row>
    <row r="429" spans="19:19" x14ac:dyDescent="0.25">
      <c r="S429" s="1"/>
    </row>
    <row r="430" spans="19:19" x14ac:dyDescent="0.25">
      <c r="S430" s="1"/>
    </row>
    <row r="431" spans="19:19" x14ac:dyDescent="0.25">
      <c r="S431" s="1"/>
    </row>
    <row r="432" spans="19:19" x14ac:dyDescent="0.25">
      <c r="S432" s="1"/>
    </row>
    <row r="433" spans="19:19" x14ac:dyDescent="0.25">
      <c r="S433" s="1"/>
    </row>
    <row r="434" spans="19:19" x14ac:dyDescent="0.25">
      <c r="S434" s="1"/>
    </row>
    <row r="435" spans="19:19" x14ac:dyDescent="0.25">
      <c r="S435" s="1"/>
    </row>
    <row r="436" spans="19:19" x14ac:dyDescent="0.25">
      <c r="S436" s="1"/>
    </row>
    <row r="437" spans="19:19" x14ac:dyDescent="0.25">
      <c r="S437" s="1"/>
    </row>
    <row r="438" spans="19:19" x14ac:dyDescent="0.25">
      <c r="S438" s="1"/>
    </row>
    <row r="439" spans="19:19" x14ac:dyDescent="0.25">
      <c r="S439" s="1"/>
    </row>
    <row r="440" spans="19:19" x14ac:dyDescent="0.25">
      <c r="S440" s="1"/>
    </row>
    <row r="441" spans="19:19" x14ac:dyDescent="0.25">
      <c r="S441" s="1"/>
    </row>
    <row r="442" spans="19:19" x14ac:dyDescent="0.25">
      <c r="S442" s="1"/>
    </row>
    <row r="443" spans="19:19" x14ac:dyDescent="0.25">
      <c r="S443" s="1"/>
    </row>
    <row r="444" spans="19:19" x14ac:dyDescent="0.25">
      <c r="S444" s="1"/>
    </row>
    <row r="445" spans="19:19" x14ac:dyDescent="0.25">
      <c r="S445" s="1"/>
    </row>
    <row r="446" spans="19:19" x14ac:dyDescent="0.25">
      <c r="S446" s="1"/>
    </row>
    <row r="447" spans="19:19" x14ac:dyDescent="0.25">
      <c r="S447" s="1"/>
    </row>
    <row r="448" spans="19:19" x14ac:dyDescent="0.25">
      <c r="S448" s="1"/>
    </row>
    <row r="449" spans="19:19" x14ac:dyDescent="0.25">
      <c r="S449" s="1"/>
    </row>
    <row r="450" spans="19:19" x14ac:dyDescent="0.25">
      <c r="S450" s="1"/>
    </row>
    <row r="451" spans="19:19" x14ac:dyDescent="0.25">
      <c r="S451" s="1"/>
    </row>
    <row r="452" spans="19:19" x14ac:dyDescent="0.25">
      <c r="S452" s="1"/>
    </row>
    <row r="453" spans="19:19" x14ac:dyDescent="0.25">
      <c r="S453" s="1"/>
    </row>
    <row r="454" spans="19:19" x14ac:dyDescent="0.25">
      <c r="S454" s="1"/>
    </row>
    <row r="455" spans="19:19" x14ac:dyDescent="0.25">
      <c r="S455" s="1"/>
    </row>
    <row r="456" spans="19:19" x14ac:dyDescent="0.25">
      <c r="S456" s="1"/>
    </row>
    <row r="457" spans="19:19" x14ac:dyDescent="0.25">
      <c r="S457" s="1"/>
    </row>
    <row r="458" spans="19:19" x14ac:dyDescent="0.25">
      <c r="S458" s="1"/>
    </row>
    <row r="459" spans="19:19" x14ac:dyDescent="0.25">
      <c r="S459" s="1"/>
    </row>
    <row r="460" spans="19:19" x14ac:dyDescent="0.25">
      <c r="S460" s="1"/>
    </row>
    <row r="461" spans="19:19" x14ac:dyDescent="0.25">
      <c r="S461" s="1"/>
    </row>
    <row r="462" spans="19:19" x14ac:dyDescent="0.25">
      <c r="S462" s="1"/>
    </row>
    <row r="463" spans="19:19" x14ac:dyDescent="0.25">
      <c r="S463" s="1"/>
    </row>
    <row r="464" spans="19:19" x14ac:dyDescent="0.25">
      <c r="S464" s="1"/>
    </row>
    <row r="465" spans="19:19" x14ac:dyDescent="0.25">
      <c r="S465" s="1"/>
    </row>
    <row r="466" spans="19:19" x14ac:dyDescent="0.25">
      <c r="S466" s="1"/>
    </row>
    <row r="467" spans="19:19" x14ac:dyDescent="0.25">
      <c r="S467" s="1"/>
    </row>
    <row r="468" spans="19:19" x14ac:dyDescent="0.25">
      <c r="S468" s="1"/>
    </row>
    <row r="469" spans="19:19" x14ac:dyDescent="0.25">
      <c r="S469" s="1"/>
    </row>
    <row r="470" spans="19:19" x14ac:dyDescent="0.25">
      <c r="S470" s="1"/>
    </row>
    <row r="471" spans="19:19" x14ac:dyDescent="0.25">
      <c r="S471" s="1"/>
    </row>
    <row r="472" spans="19:19" x14ac:dyDescent="0.25">
      <c r="S472" s="1"/>
    </row>
    <row r="473" spans="19:19" x14ac:dyDescent="0.25">
      <c r="S473" s="1"/>
    </row>
    <row r="474" spans="19:19" x14ac:dyDescent="0.25">
      <c r="S474" s="1"/>
    </row>
    <row r="475" spans="19:19" x14ac:dyDescent="0.25">
      <c r="S475" s="1"/>
    </row>
    <row r="476" spans="19:19" x14ac:dyDescent="0.25">
      <c r="S476" s="1"/>
    </row>
    <row r="477" spans="19:19" x14ac:dyDescent="0.25">
      <c r="S477" s="1"/>
    </row>
    <row r="478" spans="19:19" x14ac:dyDescent="0.25">
      <c r="S478" s="1"/>
    </row>
    <row r="479" spans="19:19" x14ac:dyDescent="0.25">
      <c r="S479" s="1"/>
    </row>
    <row r="480" spans="19:19" x14ac:dyDescent="0.25">
      <c r="S480" s="1"/>
    </row>
    <row r="481" spans="19:19" x14ac:dyDescent="0.25">
      <c r="S481" s="1"/>
    </row>
    <row r="482" spans="19:19" x14ac:dyDescent="0.25">
      <c r="S482" s="1"/>
    </row>
    <row r="483" spans="19:19" x14ac:dyDescent="0.25">
      <c r="S483" s="1"/>
    </row>
    <row r="484" spans="19:19" x14ac:dyDescent="0.25">
      <c r="S484" s="1"/>
    </row>
    <row r="485" spans="19:19" x14ac:dyDescent="0.25">
      <c r="S485" s="1"/>
    </row>
    <row r="486" spans="19:19" x14ac:dyDescent="0.25">
      <c r="S486" s="1"/>
    </row>
    <row r="487" spans="19:19" x14ac:dyDescent="0.25">
      <c r="S487" s="1"/>
    </row>
    <row r="488" spans="19:19" x14ac:dyDescent="0.25">
      <c r="S488" s="1"/>
    </row>
    <row r="489" spans="19:19" x14ac:dyDescent="0.25">
      <c r="S489" s="1"/>
    </row>
    <row r="490" spans="19:19" x14ac:dyDescent="0.25">
      <c r="S490" s="1"/>
    </row>
    <row r="491" spans="19:19" x14ac:dyDescent="0.25">
      <c r="S491" s="1"/>
    </row>
    <row r="492" spans="19:19" x14ac:dyDescent="0.25">
      <c r="S492" s="1"/>
    </row>
    <row r="493" spans="19:19" x14ac:dyDescent="0.25">
      <c r="S493" s="1"/>
    </row>
    <row r="494" spans="19:19" x14ac:dyDescent="0.25">
      <c r="S494" s="1"/>
    </row>
    <row r="495" spans="19:19" x14ac:dyDescent="0.25">
      <c r="S495" s="1"/>
    </row>
    <row r="496" spans="19:19" x14ac:dyDescent="0.25">
      <c r="S496" s="1"/>
    </row>
    <row r="497" spans="19:19" x14ac:dyDescent="0.25">
      <c r="S497" s="1"/>
    </row>
    <row r="498" spans="19:19" x14ac:dyDescent="0.25">
      <c r="S498" s="1"/>
    </row>
    <row r="499" spans="19:19" x14ac:dyDescent="0.25">
      <c r="S499" s="1"/>
    </row>
    <row r="500" spans="19:19" x14ac:dyDescent="0.25">
      <c r="S500" s="1"/>
    </row>
    <row r="501" spans="19:19" x14ac:dyDescent="0.25">
      <c r="S501" s="1"/>
    </row>
    <row r="502" spans="19:19" x14ac:dyDescent="0.25">
      <c r="S502" s="1"/>
    </row>
    <row r="503" spans="19:19" x14ac:dyDescent="0.25">
      <c r="S503" s="1"/>
    </row>
    <row r="504" spans="19:19" x14ac:dyDescent="0.25">
      <c r="S504" s="1"/>
    </row>
    <row r="505" spans="19:19" x14ac:dyDescent="0.25">
      <c r="S505" s="1"/>
    </row>
    <row r="506" spans="19:19" x14ac:dyDescent="0.25">
      <c r="S506" s="1"/>
    </row>
    <row r="507" spans="19:19" x14ac:dyDescent="0.25">
      <c r="S507" s="1"/>
    </row>
    <row r="508" spans="19:19" x14ac:dyDescent="0.25">
      <c r="S508" s="1"/>
    </row>
    <row r="509" spans="19:19" x14ac:dyDescent="0.25">
      <c r="S509" s="1"/>
    </row>
    <row r="510" spans="19:19" x14ac:dyDescent="0.25">
      <c r="S510" s="1"/>
    </row>
    <row r="511" spans="19:19" x14ac:dyDescent="0.25">
      <c r="S511" s="1"/>
    </row>
    <row r="512" spans="19:19" x14ac:dyDescent="0.25">
      <c r="S512" s="1"/>
    </row>
    <row r="513" spans="19:19" x14ac:dyDescent="0.25">
      <c r="S513" s="1"/>
    </row>
    <row r="514" spans="19:19" x14ac:dyDescent="0.25">
      <c r="S514" s="1"/>
    </row>
    <row r="515" spans="19:19" x14ac:dyDescent="0.25">
      <c r="S515" s="1"/>
    </row>
    <row r="516" spans="19:19" x14ac:dyDescent="0.25">
      <c r="S516" s="1"/>
    </row>
    <row r="517" spans="19:19" x14ac:dyDescent="0.25">
      <c r="S517" s="1"/>
    </row>
    <row r="518" spans="19:19" x14ac:dyDescent="0.25">
      <c r="S518" s="1"/>
    </row>
    <row r="519" spans="19:19" x14ac:dyDescent="0.25">
      <c r="S519" s="1"/>
    </row>
    <row r="520" spans="19:19" x14ac:dyDescent="0.25">
      <c r="S520" s="1"/>
    </row>
    <row r="521" spans="19:19" x14ac:dyDescent="0.25">
      <c r="S521" s="1"/>
    </row>
    <row r="522" spans="19:19" x14ac:dyDescent="0.25">
      <c r="S522" s="1"/>
    </row>
    <row r="523" spans="19:19" x14ac:dyDescent="0.25">
      <c r="S523" s="1"/>
    </row>
    <row r="524" spans="19:19" x14ac:dyDescent="0.25">
      <c r="S524" s="1"/>
    </row>
    <row r="525" spans="19:19" x14ac:dyDescent="0.25">
      <c r="S525" s="1"/>
    </row>
    <row r="526" spans="19:19" x14ac:dyDescent="0.25">
      <c r="S526" s="1"/>
    </row>
    <row r="527" spans="19:19" x14ac:dyDescent="0.25">
      <c r="S527" s="1"/>
    </row>
    <row r="528" spans="19:19" x14ac:dyDescent="0.25">
      <c r="S528" s="1"/>
    </row>
    <row r="529" spans="19:19" x14ac:dyDescent="0.25">
      <c r="S529" s="1"/>
    </row>
    <row r="530" spans="19:19" x14ac:dyDescent="0.25">
      <c r="S530" s="1"/>
    </row>
    <row r="531" spans="19:19" x14ac:dyDescent="0.25">
      <c r="S531" s="1"/>
    </row>
    <row r="532" spans="19:19" x14ac:dyDescent="0.25">
      <c r="S532" s="1"/>
    </row>
    <row r="533" spans="19:19" x14ac:dyDescent="0.25">
      <c r="S533" s="1"/>
    </row>
    <row r="534" spans="19:19" x14ac:dyDescent="0.25">
      <c r="S534" s="1"/>
    </row>
    <row r="535" spans="19:19" x14ac:dyDescent="0.25">
      <c r="S535" s="1"/>
    </row>
    <row r="536" spans="19:19" x14ac:dyDescent="0.25">
      <c r="S536" s="1"/>
    </row>
    <row r="537" spans="19:19" x14ac:dyDescent="0.25">
      <c r="S537" s="1"/>
    </row>
    <row r="538" spans="19:19" x14ac:dyDescent="0.25">
      <c r="S538" s="1"/>
    </row>
    <row r="539" spans="19:19" x14ac:dyDescent="0.25">
      <c r="S539" s="1"/>
    </row>
    <row r="540" spans="19:19" x14ac:dyDescent="0.25">
      <c r="S540" s="1"/>
    </row>
    <row r="541" spans="19:19" x14ac:dyDescent="0.25">
      <c r="S541" s="1"/>
    </row>
    <row r="542" spans="19:19" x14ac:dyDescent="0.25">
      <c r="S542" s="1"/>
    </row>
    <row r="543" spans="19:19" x14ac:dyDescent="0.25">
      <c r="S543" s="1"/>
    </row>
    <row r="544" spans="19:19" x14ac:dyDescent="0.25">
      <c r="S544" s="1"/>
    </row>
    <row r="545" spans="19:19" x14ac:dyDescent="0.25">
      <c r="S545" s="1"/>
    </row>
    <row r="546" spans="19:19" x14ac:dyDescent="0.25">
      <c r="S546" s="1"/>
    </row>
    <row r="547" spans="19:19" x14ac:dyDescent="0.25">
      <c r="S547" s="1"/>
    </row>
    <row r="548" spans="19:19" x14ac:dyDescent="0.25">
      <c r="S548" s="1"/>
    </row>
    <row r="549" spans="19:19" x14ac:dyDescent="0.25">
      <c r="S549" s="1"/>
    </row>
    <row r="550" spans="19:19" x14ac:dyDescent="0.25">
      <c r="S550" s="1"/>
    </row>
    <row r="551" spans="19:19" x14ac:dyDescent="0.25">
      <c r="S551" s="1"/>
    </row>
    <row r="552" spans="19:19" x14ac:dyDescent="0.25">
      <c r="S552" s="1"/>
    </row>
    <row r="553" spans="19:19" x14ac:dyDescent="0.25">
      <c r="S553" s="1"/>
    </row>
    <row r="554" spans="19:19" x14ac:dyDescent="0.25">
      <c r="S554" s="1"/>
    </row>
    <row r="555" spans="19:19" x14ac:dyDescent="0.25">
      <c r="S555" s="1"/>
    </row>
    <row r="556" spans="19:19" x14ac:dyDescent="0.25">
      <c r="S556" s="1"/>
    </row>
    <row r="557" spans="19:19" x14ac:dyDescent="0.25">
      <c r="S557" s="1"/>
    </row>
    <row r="558" spans="19:19" x14ac:dyDescent="0.25">
      <c r="S558" s="1"/>
    </row>
    <row r="559" spans="19:19" x14ac:dyDescent="0.25">
      <c r="S559" s="1"/>
    </row>
    <row r="560" spans="19:19" x14ac:dyDescent="0.25">
      <c r="S560" s="1"/>
    </row>
    <row r="561" spans="19:19" x14ac:dyDescent="0.25">
      <c r="S561" s="1"/>
    </row>
    <row r="562" spans="19:19" x14ac:dyDescent="0.25">
      <c r="S562" s="1"/>
    </row>
    <row r="563" spans="19:19" x14ac:dyDescent="0.25">
      <c r="S563" s="1"/>
    </row>
    <row r="564" spans="19:19" x14ac:dyDescent="0.25">
      <c r="S564" s="1"/>
    </row>
    <row r="565" spans="19:19" x14ac:dyDescent="0.25">
      <c r="S565" s="1"/>
    </row>
    <row r="566" spans="19:19" x14ac:dyDescent="0.25">
      <c r="S566" s="1"/>
    </row>
    <row r="567" spans="19:19" x14ac:dyDescent="0.25">
      <c r="S567" s="1"/>
    </row>
    <row r="568" spans="19:19" x14ac:dyDescent="0.25">
      <c r="S568" s="1"/>
    </row>
    <row r="569" spans="19:19" x14ac:dyDescent="0.25">
      <c r="S569" s="1"/>
    </row>
    <row r="570" spans="19:19" x14ac:dyDescent="0.25">
      <c r="S570" s="1"/>
    </row>
    <row r="571" spans="19:19" x14ac:dyDescent="0.25">
      <c r="S571" s="1"/>
    </row>
    <row r="572" spans="19:19" x14ac:dyDescent="0.25">
      <c r="S572" s="1"/>
    </row>
    <row r="573" spans="19:19" x14ac:dyDescent="0.25">
      <c r="S573" s="1"/>
    </row>
    <row r="574" spans="19:19" x14ac:dyDescent="0.25">
      <c r="S574" s="1"/>
    </row>
    <row r="575" spans="19:19" x14ac:dyDescent="0.25">
      <c r="S575" s="1"/>
    </row>
    <row r="576" spans="19:19" x14ac:dyDescent="0.25">
      <c r="S576" s="1"/>
    </row>
    <row r="577" spans="19:19" x14ac:dyDescent="0.25">
      <c r="S577" s="1"/>
    </row>
    <row r="578" spans="19:19" x14ac:dyDescent="0.25">
      <c r="S578" s="1"/>
    </row>
    <row r="579" spans="19:19" x14ac:dyDescent="0.25">
      <c r="S579" s="1"/>
    </row>
    <row r="580" spans="19:19" x14ac:dyDescent="0.25">
      <c r="S580" s="1"/>
    </row>
    <row r="581" spans="19:19" x14ac:dyDescent="0.25">
      <c r="S581" s="1"/>
    </row>
    <row r="582" spans="19:19" x14ac:dyDescent="0.25">
      <c r="S582" s="1"/>
    </row>
    <row r="583" spans="19:19" x14ac:dyDescent="0.25">
      <c r="S583" s="1"/>
    </row>
    <row r="584" spans="19:19" x14ac:dyDescent="0.25">
      <c r="S584" s="1"/>
    </row>
    <row r="585" spans="19:19" x14ac:dyDescent="0.25">
      <c r="S585" s="1"/>
    </row>
    <row r="586" spans="19:19" x14ac:dyDescent="0.25">
      <c r="S586" s="1"/>
    </row>
    <row r="587" spans="19:19" x14ac:dyDescent="0.25">
      <c r="S587" s="1"/>
    </row>
    <row r="588" spans="19:19" x14ac:dyDescent="0.25">
      <c r="S588" s="1"/>
    </row>
    <row r="589" spans="19:19" x14ac:dyDescent="0.25">
      <c r="S589" s="1"/>
    </row>
    <row r="590" spans="19:19" x14ac:dyDescent="0.25">
      <c r="S590" s="1"/>
    </row>
    <row r="591" spans="19:19" x14ac:dyDescent="0.25">
      <c r="S591" s="1"/>
    </row>
    <row r="592" spans="19:19" x14ac:dyDescent="0.25">
      <c r="S592" s="1"/>
    </row>
    <row r="593" spans="19:19" x14ac:dyDescent="0.25">
      <c r="S593" s="1"/>
    </row>
    <row r="594" spans="19:19" x14ac:dyDescent="0.25">
      <c r="S594" s="1"/>
    </row>
    <row r="595" spans="19:19" x14ac:dyDescent="0.25">
      <c r="S595" s="1"/>
    </row>
    <row r="596" spans="19:19" x14ac:dyDescent="0.25">
      <c r="S596" s="1"/>
    </row>
    <row r="597" spans="19:19" x14ac:dyDescent="0.25">
      <c r="S597" s="1"/>
    </row>
    <row r="598" spans="19:19" x14ac:dyDescent="0.25">
      <c r="S598" s="1"/>
    </row>
    <row r="599" spans="19:19" x14ac:dyDescent="0.25">
      <c r="S599" s="1"/>
    </row>
    <row r="600" spans="19:19" x14ac:dyDescent="0.25">
      <c r="S600" s="1"/>
    </row>
    <row r="601" spans="19:19" x14ac:dyDescent="0.25">
      <c r="S601" s="1"/>
    </row>
    <row r="602" spans="19:19" x14ac:dyDescent="0.25">
      <c r="S602" s="1"/>
    </row>
    <row r="603" spans="19:19" x14ac:dyDescent="0.25">
      <c r="S603" s="1"/>
    </row>
    <row r="604" spans="19:19" x14ac:dyDescent="0.25">
      <c r="S604" s="1"/>
    </row>
    <row r="605" spans="19:19" x14ac:dyDescent="0.25">
      <c r="S605" s="1"/>
    </row>
    <row r="606" spans="19:19" x14ac:dyDescent="0.25">
      <c r="S606" s="1"/>
    </row>
    <row r="607" spans="19:19" x14ac:dyDescent="0.25">
      <c r="S607" s="1"/>
    </row>
    <row r="608" spans="19:19" x14ac:dyDescent="0.25">
      <c r="S608" s="1"/>
    </row>
    <row r="609" spans="19:19" x14ac:dyDescent="0.25">
      <c r="S609" s="1"/>
    </row>
    <row r="610" spans="19:19" x14ac:dyDescent="0.25">
      <c r="S610" s="1"/>
    </row>
    <row r="611" spans="19:19" x14ac:dyDescent="0.25">
      <c r="S611" s="1"/>
    </row>
    <row r="612" spans="19:19" x14ac:dyDescent="0.25">
      <c r="S612" s="1"/>
    </row>
    <row r="613" spans="19:19" x14ac:dyDescent="0.25">
      <c r="S613" s="1"/>
    </row>
    <row r="614" spans="19:19" x14ac:dyDescent="0.25">
      <c r="S614" s="1"/>
    </row>
    <row r="615" spans="19:19" x14ac:dyDescent="0.25">
      <c r="S615" s="1"/>
    </row>
    <row r="616" spans="19:19" x14ac:dyDescent="0.25">
      <c r="S616" s="1"/>
    </row>
    <row r="617" spans="19:19" x14ac:dyDescent="0.25">
      <c r="S617" s="1"/>
    </row>
    <row r="618" spans="19:19" x14ac:dyDescent="0.25">
      <c r="S618" s="1"/>
    </row>
    <row r="619" spans="19:19" x14ac:dyDescent="0.25">
      <c r="S619" s="1"/>
    </row>
    <row r="620" spans="19:19" x14ac:dyDescent="0.25">
      <c r="S620" s="1"/>
    </row>
    <row r="621" spans="19:19" x14ac:dyDescent="0.25">
      <c r="S621" s="1"/>
    </row>
    <row r="622" spans="19:19" x14ac:dyDescent="0.25">
      <c r="S622" s="1"/>
    </row>
    <row r="623" spans="19:19" x14ac:dyDescent="0.25">
      <c r="S623" s="1"/>
    </row>
    <row r="624" spans="19:19" x14ac:dyDescent="0.25">
      <c r="S624" s="1"/>
    </row>
    <row r="625" spans="19:19" x14ac:dyDescent="0.25">
      <c r="S625" s="1"/>
    </row>
    <row r="626" spans="19:19" x14ac:dyDescent="0.25">
      <c r="S626" s="1"/>
    </row>
    <row r="627" spans="19:19" x14ac:dyDescent="0.25">
      <c r="S627" s="1"/>
    </row>
    <row r="628" spans="19:19" x14ac:dyDescent="0.25">
      <c r="S628" s="1"/>
    </row>
    <row r="629" spans="19:19" x14ac:dyDescent="0.25">
      <c r="S629" s="1"/>
    </row>
    <row r="630" spans="19:19" x14ac:dyDescent="0.25">
      <c r="S630" s="1"/>
    </row>
    <row r="631" spans="19:19" x14ac:dyDescent="0.25">
      <c r="S631" s="1"/>
    </row>
    <row r="632" spans="19:19" x14ac:dyDescent="0.25">
      <c r="S632" s="1"/>
    </row>
    <row r="633" spans="19:19" x14ac:dyDescent="0.25">
      <c r="S633" s="1"/>
    </row>
    <row r="634" spans="19:19" x14ac:dyDescent="0.25">
      <c r="S634" s="1"/>
    </row>
    <row r="635" spans="19:19" x14ac:dyDescent="0.25">
      <c r="S635" s="1"/>
    </row>
    <row r="636" spans="19:19" x14ac:dyDescent="0.25">
      <c r="S636" s="1"/>
    </row>
    <row r="637" spans="19:19" x14ac:dyDescent="0.25">
      <c r="S637" s="1"/>
    </row>
    <row r="638" spans="19:19" x14ac:dyDescent="0.25">
      <c r="S638" s="1"/>
    </row>
    <row r="639" spans="19:19" x14ac:dyDescent="0.25">
      <c r="S639" s="1"/>
    </row>
    <row r="640" spans="19:19" x14ac:dyDescent="0.25">
      <c r="S640" s="1"/>
    </row>
    <row r="641" spans="19:19" x14ac:dyDescent="0.25">
      <c r="S641" s="1"/>
    </row>
    <row r="642" spans="19:19" x14ac:dyDescent="0.25">
      <c r="S642" s="1"/>
    </row>
    <row r="643" spans="19:19" x14ac:dyDescent="0.25">
      <c r="S643" s="1"/>
    </row>
    <row r="644" spans="19:19" x14ac:dyDescent="0.25">
      <c r="S644" s="1"/>
    </row>
    <row r="645" spans="19:19" x14ac:dyDescent="0.25">
      <c r="S645" s="1"/>
    </row>
    <row r="646" spans="19:19" x14ac:dyDescent="0.25">
      <c r="S646" s="1"/>
    </row>
    <row r="647" spans="19:19" x14ac:dyDescent="0.25">
      <c r="S647" s="1"/>
    </row>
    <row r="648" spans="19:19" x14ac:dyDescent="0.25">
      <c r="S648" s="1"/>
    </row>
    <row r="649" spans="19:19" x14ac:dyDescent="0.25">
      <c r="S649" s="1"/>
    </row>
    <row r="650" spans="19:19" x14ac:dyDescent="0.25">
      <c r="S650" s="1"/>
    </row>
    <row r="651" spans="19:19" x14ac:dyDescent="0.25">
      <c r="S651" s="1"/>
    </row>
    <row r="652" spans="19:19" x14ac:dyDescent="0.25">
      <c r="S652" s="1"/>
    </row>
    <row r="653" spans="19:19" x14ac:dyDescent="0.25">
      <c r="S653" s="1"/>
    </row>
    <row r="654" spans="19:19" x14ac:dyDescent="0.25">
      <c r="S654" s="1"/>
    </row>
    <row r="655" spans="19:19" x14ac:dyDescent="0.25">
      <c r="S655" s="1"/>
    </row>
    <row r="656" spans="19:19" x14ac:dyDescent="0.25">
      <c r="S656" s="1"/>
    </row>
    <row r="657" spans="19:19" x14ac:dyDescent="0.25">
      <c r="S657" s="1"/>
    </row>
    <row r="658" spans="19:19" x14ac:dyDescent="0.25">
      <c r="S658" s="1"/>
    </row>
    <row r="659" spans="19:19" x14ac:dyDescent="0.25">
      <c r="S659" s="1"/>
    </row>
    <row r="660" spans="19:19" x14ac:dyDescent="0.25">
      <c r="S660" s="1"/>
    </row>
    <row r="661" spans="19:19" x14ac:dyDescent="0.25">
      <c r="S661" s="1"/>
    </row>
    <row r="662" spans="19:19" x14ac:dyDescent="0.25">
      <c r="S662" s="1"/>
    </row>
    <row r="663" spans="19:19" x14ac:dyDescent="0.25">
      <c r="S663" s="1"/>
    </row>
    <row r="664" spans="19:19" x14ac:dyDescent="0.25">
      <c r="S664" s="1"/>
    </row>
    <row r="665" spans="19:19" x14ac:dyDescent="0.25">
      <c r="S665" s="1"/>
    </row>
    <row r="666" spans="19:19" x14ac:dyDescent="0.25">
      <c r="S666" s="1"/>
    </row>
    <row r="667" spans="19:19" x14ac:dyDescent="0.25">
      <c r="S667" s="1"/>
    </row>
    <row r="668" spans="19:19" x14ac:dyDescent="0.25">
      <c r="S668" s="1"/>
    </row>
    <row r="669" spans="19:19" x14ac:dyDescent="0.25">
      <c r="S669" s="1"/>
    </row>
    <row r="670" spans="19:19" x14ac:dyDescent="0.25">
      <c r="S670" s="1"/>
    </row>
    <row r="671" spans="19:19" x14ac:dyDescent="0.25">
      <c r="S671" s="1"/>
    </row>
    <row r="672" spans="19:19" x14ac:dyDescent="0.25">
      <c r="S672" s="1"/>
    </row>
    <row r="673" spans="19:19" x14ac:dyDescent="0.25">
      <c r="S673" s="1"/>
    </row>
    <row r="674" spans="19:19" x14ac:dyDescent="0.25">
      <c r="S674" s="1"/>
    </row>
    <row r="675" spans="19:19" x14ac:dyDescent="0.25">
      <c r="S675" s="1"/>
    </row>
    <row r="676" spans="19:19" x14ac:dyDescent="0.25">
      <c r="S676" s="1"/>
    </row>
    <row r="677" spans="19:19" x14ac:dyDescent="0.25">
      <c r="S677" s="1"/>
    </row>
    <row r="678" spans="19:19" x14ac:dyDescent="0.25">
      <c r="S678" s="1"/>
    </row>
    <row r="679" spans="19:19" x14ac:dyDescent="0.25">
      <c r="S679" s="1"/>
    </row>
    <row r="680" spans="19:19" x14ac:dyDescent="0.25">
      <c r="S680" s="1"/>
    </row>
    <row r="681" spans="19:19" x14ac:dyDescent="0.25">
      <c r="S681" s="1"/>
    </row>
    <row r="682" spans="19:19" x14ac:dyDescent="0.25">
      <c r="S682" s="1"/>
    </row>
    <row r="683" spans="19:19" x14ac:dyDescent="0.25">
      <c r="S683" s="1"/>
    </row>
    <row r="684" spans="19:19" x14ac:dyDescent="0.25">
      <c r="S684" s="1"/>
    </row>
    <row r="685" spans="19:19" x14ac:dyDescent="0.25">
      <c r="S685" s="1"/>
    </row>
    <row r="686" spans="19:19" x14ac:dyDescent="0.25">
      <c r="S686" s="1"/>
    </row>
    <row r="687" spans="19:19" x14ac:dyDescent="0.25">
      <c r="S687" s="1"/>
    </row>
    <row r="688" spans="19:19" x14ac:dyDescent="0.25">
      <c r="S688" s="1"/>
    </row>
    <row r="689" spans="19:19" x14ac:dyDescent="0.25">
      <c r="S689" s="1"/>
    </row>
    <row r="690" spans="19:19" x14ac:dyDescent="0.25">
      <c r="S690" s="1"/>
    </row>
    <row r="691" spans="19:19" x14ac:dyDescent="0.25">
      <c r="S691" s="1"/>
    </row>
    <row r="692" spans="19:19" x14ac:dyDescent="0.25">
      <c r="S692" s="1"/>
    </row>
    <row r="693" spans="19:19" x14ac:dyDescent="0.25">
      <c r="S693" s="1"/>
    </row>
    <row r="694" spans="19:19" x14ac:dyDescent="0.25">
      <c r="S694" s="1"/>
    </row>
    <row r="695" spans="19:19" x14ac:dyDescent="0.25">
      <c r="S695" s="1"/>
    </row>
    <row r="696" spans="19:19" x14ac:dyDescent="0.25">
      <c r="S696" s="1"/>
    </row>
    <row r="697" spans="19:19" x14ac:dyDescent="0.25">
      <c r="S697" s="1"/>
    </row>
    <row r="698" spans="19:19" x14ac:dyDescent="0.25">
      <c r="S698" s="1"/>
    </row>
    <row r="699" spans="19:19" x14ac:dyDescent="0.25">
      <c r="S699" s="1"/>
    </row>
    <row r="700" spans="19:19" x14ac:dyDescent="0.25">
      <c r="S700" s="1"/>
    </row>
    <row r="701" spans="19:19" x14ac:dyDescent="0.25">
      <c r="S701" s="1"/>
    </row>
    <row r="702" spans="19:19" x14ac:dyDescent="0.25">
      <c r="S702" s="1"/>
    </row>
    <row r="703" spans="19:19" x14ac:dyDescent="0.25">
      <c r="S703" s="1"/>
    </row>
    <row r="704" spans="19:19" x14ac:dyDescent="0.25">
      <c r="S704" s="1"/>
    </row>
    <row r="705" spans="19:19" x14ac:dyDescent="0.25">
      <c r="S705" s="1"/>
    </row>
    <row r="706" spans="19:19" x14ac:dyDescent="0.25">
      <c r="S706" s="1"/>
    </row>
    <row r="707" spans="19:19" x14ac:dyDescent="0.25">
      <c r="S707" s="1"/>
    </row>
    <row r="708" spans="19:19" x14ac:dyDescent="0.25">
      <c r="S708" s="1"/>
    </row>
    <row r="709" spans="19:19" x14ac:dyDescent="0.25">
      <c r="S709" s="1"/>
    </row>
    <row r="710" spans="19:19" x14ac:dyDescent="0.25">
      <c r="S710" s="1"/>
    </row>
    <row r="711" spans="19:19" x14ac:dyDescent="0.25">
      <c r="S711" s="1"/>
    </row>
    <row r="712" spans="19:19" x14ac:dyDescent="0.25">
      <c r="S712" s="1"/>
    </row>
    <row r="713" spans="19:19" x14ac:dyDescent="0.25">
      <c r="S713" s="1"/>
    </row>
    <row r="714" spans="19:19" x14ac:dyDescent="0.25">
      <c r="S714" s="1"/>
    </row>
    <row r="715" spans="19:19" x14ac:dyDescent="0.25">
      <c r="S715" s="1"/>
    </row>
    <row r="716" spans="19:19" x14ac:dyDescent="0.25">
      <c r="S716" s="1"/>
    </row>
    <row r="717" spans="19:19" x14ac:dyDescent="0.25">
      <c r="S717" s="1"/>
    </row>
    <row r="718" spans="19:19" x14ac:dyDescent="0.25">
      <c r="S718" s="1"/>
    </row>
    <row r="719" spans="19:19" x14ac:dyDescent="0.25">
      <c r="S719" s="1"/>
    </row>
    <row r="720" spans="19:19" x14ac:dyDescent="0.25">
      <c r="S720" s="1"/>
    </row>
    <row r="721" spans="19:19" x14ac:dyDescent="0.25">
      <c r="S721" s="1"/>
    </row>
    <row r="722" spans="19:19" x14ac:dyDescent="0.25">
      <c r="S722" s="1"/>
    </row>
    <row r="723" spans="19:19" x14ac:dyDescent="0.25">
      <c r="S723" s="1"/>
    </row>
    <row r="724" spans="19:19" x14ac:dyDescent="0.25">
      <c r="S724" s="1"/>
    </row>
    <row r="725" spans="19:19" x14ac:dyDescent="0.25">
      <c r="S725" s="1"/>
    </row>
    <row r="726" spans="19:19" x14ac:dyDescent="0.25">
      <c r="S726" s="1"/>
    </row>
    <row r="727" spans="19:19" x14ac:dyDescent="0.25">
      <c r="S727" s="1"/>
    </row>
    <row r="728" spans="19:19" x14ac:dyDescent="0.25">
      <c r="S728" s="1"/>
    </row>
    <row r="729" spans="19:19" x14ac:dyDescent="0.25">
      <c r="S729" s="1"/>
    </row>
    <row r="730" spans="19:19" x14ac:dyDescent="0.25">
      <c r="S730" s="1"/>
    </row>
    <row r="731" spans="19:19" x14ac:dyDescent="0.25">
      <c r="S731" s="1"/>
    </row>
    <row r="732" spans="19:19" x14ac:dyDescent="0.25">
      <c r="S732" s="1"/>
    </row>
    <row r="733" spans="19:19" x14ac:dyDescent="0.25">
      <c r="S733" s="1"/>
    </row>
    <row r="734" spans="19:19" x14ac:dyDescent="0.25">
      <c r="S734" s="1"/>
    </row>
    <row r="735" spans="19:19" x14ac:dyDescent="0.25">
      <c r="S735" s="1"/>
    </row>
    <row r="736" spans="19:19" x14ac:dyDescent="0.25">
      <c r="S736" s="1"/>
    </row>
    <row r="737" spans="19:19" x14ac:dyDescent="0.25">
      <c r="S737" s="1"/>
    </row>
    <row r="738" spans="19:19" x14ac:dyDescent="0.25">
      <c r="S738" s="1"/>
    </row>
    <row r="739" spans="19:19" x14ac:dyDescent="0.25">
      <c r="S739" s="1"/>
    </row>
    <row r="740" spans="19:19" x14ac:dyDescent="0.25">
      <c r="S740" s="1"/>
    </row>
    <row r="741" spans="19:19" x14ac:dyDescent="0.25">
      <c r="S741" s="1"/>
    </row>
    <row r="742" spans="19:19" x14ac:dyDescent="0.25">
      <c r="S742" s="1"/>
    </row>
    <row r="743" spans="19:19" x14ac:dyDescent="0.25">
      <c r="S743" s="1"/>
    </row>
    <row r="744" spans="19:19" x14ac:dyDescent="0.25">
      <c r="S744" s="1"/>
    </row>
    <row r="745" spans="19:19" x14ac:dyDescent="0.25">
      <c r="S745" s="1"/>
    </row>
    <row r="746" spans="19:19" x14ac:dyDescent="0.25">
      <c r="S746" s="1"/>
    </row>
    <row r="747" spans="19:19" x14ac:dyDescent="0.25">
      <c r="S747" s="1"/>
    </row>
    <row r="748" spans="19:19" x14ac:dyDescent="0.25">
      <c r="S748" s="1"/>
    </row>
    <row r="749" spans="19:19" x14ac:dyDescent="0.25">
      <c r="S749" s="1"/>
    </row>
    <row r="750" spans="19:19" x14ac:dyDescent="0.25">
      <c r="S750" s="1"/>
    </row>
    <row r="751" spans="19:19" x14ac:dyDescent="0.25">
      <c r="S751" s="1"/>
    </row>
    <row r="752" spans="19:19" x14ac:dyDescent="0.25">
      <c r="S752" s="1"/>
    </row>
    <row r="753" spans="19:19" x14ac:dyDescent="0.25">
      <c r="S753" s="1"/>
    </row>
    <row r="754" spans="19:19" x14ac:dyDescent="0.25">
      <c r="S754" s="1"/>
    </row>
    <row r="755" spans="19:19" x14ac:dyDescent="0.25">
      <c r="S755" s="1"/>
    </row>
    <row r="756" spans="19:19" x14ac:dyDescent="0.25">
      <c r="S756" s="1"/>
    </row>
    <row r="757" spans="19:19" x14ac:dyDescent="0.25">
      <c r="S757" s="1"/>
    </row>
    <row r="758" spans="19:19" x14ac:dyDescent="0.25">
      <c r="S758" s="1"/>
    </row>
    <row r="759" spans="19:19" x14ac:dyDescent="0.25">
      <c r="S759" s="1"/>
    </row>
    <row r="760" spans="19:19" x14ac:dyDescent="0.25">
      <c r="S760" s="1"/>
    </row>
    <row r="761" spans="19:19" x14ac:dyDescent="0.25">
      <c r="S761" s="1"/>
    </row>
    <row r="762" spans="19:19" x14ac:dyDescent="0.25">
      <c r="S762" s="1"/>
    </row>
    <row r="763" spans="19:19" x14ac:dyDescent="0.25">
      <c r="S763" s="1"/>
    </row>
    <row r="764" spans="19:19" x14ac:dyDescent="0.25">
      <c r="S764" s="1"/>
    </row>
    <row r="765" spans="19:19" x14ac:dyDescent="0.25">
      <c r="S765" s="1"/>
    </row>
    <row r="766" spans="19:19" x14ac:dyDescent="0.25">
      <c r="S766" s="1"/>
    </row>
    <row r="767" spans="19:19" x14ac:dyDescent="0.25">
      <c r="S767" s="1"/>
    </row>
    <row r="768" spans="19:19" x14ac:dyDescent="0.25">
      <c r="S768" s="1"/>
    </row>
    <row r="769" spans="19:19" x14ac:dyDescent="0.25">
      <c r="S769" s="1"/>
    </row>
    <row r="770" spans="19:19" x14ac:dyDescent="0.25">
      <c r="S770" s="1"/>
    </row>
    <row r="771" spans="19:19" x14ac:dyDescent="0.25">
      <c r="S771" s="1"/>
    </row>
    <row r="772" spans="19:19" x14ac:dyDescent="0.25">
      <c r="S772" s="1"/>
    </row>
    <row r="773" spans="19:19" x14ac:dyDescent="0.25">
      <c r="S773" s="1"/>
    </row>
    <row r="774" spans="19:19" x14ac:dyDescent="0.25">
      <c r="S774" s="1"/>
    </row>
    <row r="775" spans="19:19" x14ac:dyDescent="0.25">
      <c r="S775" s="1"/>
    </row>
    <row r="776" spans="19:19" x14ac:dyDescent="0.25">
      <c r="S776" s="1"/>
    </row>
    <row r="777" spans="19:19" x14ac:dyDescent="0.25">
      <c r="S777" s="1"/>
    </row>
    <row r="778" spans="19:19" x14ac:dyDescent="0.25">
      <c r="S778" s="1"/>
    </row>
    <row r="779" spans="19:19" x14ac:dyDescent="0.25">
      <c r="S779" s="1"/>
    </row>
    <row r="780" spans="19:19" x14ac:dyDescent="0.25">
      <c r="S780" s="1"/>
    </row>
    <row r="781" spans="19:19" x14ac:dyDescent="0.25">
      <c r="S781" s="1"/>
    </row>
    <row r="782" spans="19:19" x14ac:dyDescent="0.25">
      <c r="S782" s="1"/>
    </row>
    <row r="783" spans="19:19" x14ac:dyDescent="0.25">
      <c r="S783" s="1"/>
    </row>
    <row r="784" spans="19:19" x14ac:dyDescent="0.25">
      <c r="S784" s="1"/>
    </row>
    <row r="785" spans="19:19" x14ac:dyDescent="0.25">
      <c r="S785" s="1"/>
    </row>
    <row r="786" spans="19:19" x14ac:dyDescent="0.25">
      <c r="S786" s="1"/>
    </row>
    <row r="787" spans="19:19" x14ac:dyDescent="0.25">
      <c r="S787" s="1"/>
    </row>
    <row r="788" spans="19:19" x14ac:dyDescent="0.25">
      <c r="S788" s="1"/>
    </row>
    <row r="789" spans="19:19" x14ac:dyDescent="0.25">
      <c r="S789" s="1"/>
    </row>
    <row r="790" spans="19:19" x14ac:dyDescent="0.25">
      <c r="S790" s="1"/>
    </row>
    <row r="791" spans="19:19" x14ac:dyDescent="0.25">
      <c r="S791" s="1"/>
    </row>
    <row r="792" spans="19:19" x14ac:dyDescent="0.25">
      <c r="S792" s="1"/>
    </row>
    <row r="793" spans="19:19" x14ac:dyDescent="0.25">
      <c r="S793" s="1"/>
    </row>
    <row r="794" spans="19:19" x14ac:dyDescent="0.25">
      <c r="S794" s="1"/>
    </row>
    <row r="795" spans="19:19" x14ac:dyDescent="0.25">
      <c r="S795" s="1"/>
    </row>
    <row r="796" spans="19:19" x14ac:dyDescent="0.25">
      <c r="S796" s="1"/>
    </row>
    <row r="797" spans="19:19" x14ac:dyDescent="0.25">
      <c r="S797" s="1"/>
    </row>
    <row r="798" spans="19:19" x14ac:dyDescent="0.25">
      <c r="S798" s="1"/>
    </row>
    <row r="799" spans="19:19" x14ac:dyDescent="0.25">
      <c r="S799" s="1"/>
    </row>
    <row r="800" spans="19:19" x14ac:dyDescent="0.25">
      <c r="S800" s="1"/>
    </row>
    <row r="801" spans="19:19" x14ac:dyDescent="0.25">
      <c r="S801" s="1"/>
    </row>
    <row r="802" spans="19:19" x14ac:dyDescent="0.25">
      <c r="S802" s="1"/>
    </row>
    <row r="803" spans="19:19" x14ac:dyDescent="0.25">
      <c r="S803" s="1"/>
    </row>
    <row r="804" spans="19:19" x14ac:dyDescent="0.25">
      <c r="S804" s="1"/>
    </row>
    <row r="805" spans="19:19" x14ac:dyDescent="0.25">
      <c r="S805" s="1"/>
    </row>
    <row r="806" spans="19:19" x14ac:dyDescent="0.25">
      <c r="S806" s="1"/>
    </row>
    <row r="807" spans="19:19" x14ac:dyDescent="0.25">
      <c r="S807" s="1"/>
    </row>
    <row r="808" spans="19:19" x14ac:dyDescent="0.25">
      <c r="S808" s="1"/>
    </row>
    <row r="809" spans="19:19" x14ac:dyDescent="0.25">
      <c r="S809" s="1"/>
    </row>
    <row r="810" spans="19:19" x14ac:dyDescent="0.25">
      <c r="S810" s="1"/>
    </row>
    <row r="811" spans="19:19" x14ac:dyDescent="0.25">
      <c r="S811" s="1"/>
    </row>
    <row r="812" spans="19:19" x14ac:dyDescent="0.25">
      <c r="S812" s="1"/>
    </row>
    <row r="813" spans="19:19" x14ac:dyDescent="0.25">
      <c r="S813" s="1"/>
    </row>
    <row r="814" spans="19:19" x14ac:dyDescent="0.25">
      <c r="S814" s="1"/>
    </row>
    <row r="815" spans="19:19" x14ac:dyDescent="0.25">
      <c r="S815" s="1"/>
    </row>
    <row r="816" spans="19:19" x14ac:dyDescent="0.25">
      <c r="S816" s="1"/>
    </row>
    <row r="817" spans="19:19" x14ac:dyDescent="0.25">
      <c r="S817" s="1"/>
    </row>
    <row r="818" spans="19:19" x14ac:dyDescent="0.25">
      <c r="S818" s="1"/>
    </row>
    <row r="819" spans="19:19" x14ac:dyDescent="0.25">
      <c r="S819" s="1"/>
    </row>
    <row r="820" spans="19:19" x14ac:dyDescent="0.25">
      <c r="S820" s="1"/>
    </row>
    <row r="821" spans="19:19" x14ac:dyDescent="0.25">
      <c r="S821" s="1"/>
    </row>
    <row r="822" spans="19:19" x14ac:dyDescent="0.25">
      <c r="S822" s="1"/>
    </row>
    <row r="823" spans="19:19" x14ac:dyDescent="0.25">
      <c r="S823" s="1"/>
    </row>
    <row r="824" spans="19:19" x14ac:dyDescent="0.25">
      <c r="S824" s="1"/>
    </row>
    <row r="825" spans="19:19" x14ac:dyDescent="0.25">
      <c r="S825" s="1"/>
    </row>
  </sheetData>
  <mergeCells count="1">
    <mergeCell ref="K19:M19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6" r:id="rId4" name="CommandButton1">
          <controlPr defaultSize="0" autoLine="0" r:id="rId5">
            <anchor moveWithCells="1">
              <from>
                <xdr:col>1</xdr:col>
                <xdr:colOff>45720</xdr:colOff>
                <xdr:row>22</xdr:row>
                <xdr:rowOff>121920</xdr:rowOff>
              </from>
              <to>
                <xdr:col>4</xdr:col>
                <xdr:colOff>525780</xdr:colOff>
                <xdr:row>27</xdr:row>
                <xdr:rowOff>121920</xdr:rowOff>
              </to>
            </anchor>
          </controlPr>
        </control>
      </mc:Choice>
      <mc:Fallback>
        <control shapeId="107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9</vt:i4>
      </vt:variant>
    </vt:vector>
  </HeadingPairs>
  <TitlesOfParts>
    <vt:vector size="10" baseType="lpstr">
      <vt:lpstr>Simula Blendagem</vt:lpstr>
      <vt:lpstr>A_1</vt:lpstr>
      <vt:lpstr>A_2</vt:lpstr>
      <vt:lpstr>Delta_A_1</vt:lpstr>
      <vt:lpstr>Delta_A_2</vt:lpstr>
      <vt:lpstr>Eo_SP</vt:lpstr>
      <vt:lpstr>Extrato_B</vt:lpstr>
      <vt:lpstr>L_1</vt:lpstr>
      <vt:lpstr>L_2</vt:lpstr>
      <vt:lpstr>Va_i</vt:lpstr>
    </vt:vector>
  </TitlesOfParts>
  <Company>Cia de Bebidas das Américas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Alvimar Alves Lousada</dc:creator>
  <cp:lastModifiedBy>Alvimar Alves Lousada</cp:lastModifiedBy>
  <dcterms:created xsi:type="dcterms:W3CDTF">2004-04-15T04:56:33Z</dcterms:created>
  <dcterms:modified xsi:type="dcterms:W3CDTF">2023-03-09T12:57:07Z</dcterms:modified>
</cp:coreProperties>
</file>